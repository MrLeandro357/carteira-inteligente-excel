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TI - Faculdade_Cursos_e_Treinamentos\Santander Excel com IA e Claude\Carteira Inteligente\"/>
    </mc:Choice>
  </mc:AlternateContent>
  <xr:revisionPtr revIDLastSave="0" documentId="13_ncr:1_{3B150627-3E51-4176-9B7F-D1951554AB10}" xr6:coauthVersionLast="47" xr6:coauthVersionMax="47" xr10:uidLastSave="{00000000-0000-0000-0000-000000000000}"/>
  <bookViews>
    <workbookView xWindow="5775" yWindow="1680" windowWidth="21600" windowHeight="13125" xr2:uid="{A57CD098-14EC-4185-B074-C651832BE373}"/>
  </bookViews>
  <sheets>
    <sheet name="SIMULADOR" sheetId="2" r:id="rId1"/>
    <sheet name="CENÁRIOS" sheetId="3" r:id="rId2"/>
    <sheet name="PERFIL" sheetId="4" r:id="rId3"/>
    <sheet name="DADOS" sheetId="5" state="hidden" r:id="rId4"/>
  </sheets>
  <definedNames>
    <definedName name="investimento_mensal">SIMULADOR!$H$12</definedName>
    <definedName name="patrimonio_acumulado">SIMULADOR!$H$22</definedName>
    <definedName name="percentual_investir">SIMULADOR!$H$10</definedName>
    <definedName name="periodo_investimento">SIMULADOR!$H$16</definedName>
    <definedName name="renda_estimada">SIMULADOR!$H$26</definedName>
    <definedName name="renda_mensal">SIMULADOR!$H$8</definedName>
    <definedName name="rendimento_obtido">SIMULADOR!$H$24</definedName>
    <definedName name="taxa_mensal">SIMULADOR!$H$14</definedName>
    <definedName name="total_investido">SIMULADOR!$H$20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2" i="2" l="1"/>
  <c r="C10" i="3" s="1"/>
  <c r="C11" i="3"/>
  <c r="D9" i="3"/>
  <c r="F9" i="3" s="1"/>
  <c r="E7" i="5"/>
  <c r="D7" i="5"/>
  <c r="C7" i="5"/>
  <c r="E10" i="4"/>
  <c r="E11" i="4"/>
  <c r="E12" i="4"/>
  <c r="E9" i="4"/>
  <c r="D7" i="3" l="1"/>
  <c r="H20" i="2"/>
  <c r="D11" i="3"/>
  <c r="D8" i="3"/>
  <c r="F8" i="3" s="1"/>
  <c r="C9" i="3"/>
  <c r="D10" i="3"/>
  <c r="H22" i="2"/>
  <c r="C7" i="3"/>
  <c r="C8" i="3"/>
  <c r="E13" i="4"/>
  <c r="F10" i="3" l="1"/>
  <c r="E10" i="3"/>
  <c r="F11" i="3"/>
  <c r="E11" i="3"/>
  <c r="F7" i="3"/>
  <c r="E7" i="3"/>
  <c r="E8" i="3"/>
  <c r="H26" i="2"/>
  <c r="H24" i="2"/>
  <c r="E9" i="3"/>
</calcChain>
</file>

<file path=xl/sharedStrings.xml><?xml version="1.0" encoding="utf-8"?>
<sst xmlns="http://schemas.openxmlformats.org/spreadsheetml/2006/main" count="45" uniqueCount="36">
  <si>
    <t>CONFIGURAÇÕES</t>
  </si>
  <si>
    <t>CARTEIRA INTELIGENTE</t>
  </si>
  <si>
    <t>Simulador de Investimentos</t>
  </si>
  <si>
    <t>RESULTADOS</t>
  </si>
  <si>
    <t>Rendimento obtido</t>
  </si>
  <si>
    <t>Renda passiva estimada</t>
  </si>
  <si>
    <t>Total investido</t>
  </si>
  <si>
    <t>Renda mensal</t>
  </si>
  <si>
    <t>Percentual para investir</t>
  </si>
  <si>
    <t>Investimento mensal</t>
  </si>
  <si>
    <t>Taxa de rendimento mensal</t>
  </si>
  <si>
    <t>Período de investimento</t>
  </si>
  <si>
    <t>Patrimônio acumulado</t>
  </si>
  <si>
    <t>CENÁRIOS DE INVESTIMENTO</t>
  </si>
  <si>
    <t>Projeção de crescimento do patrimônio</t>
  </si>
  <si>
    <t>Período</t>
  </si>
  <si>
    <t>Rendimento</t>
  </si>
  <si>
    <t>Renda passiva</t>
  </si>
  <si>
    <t>Categoria</t>
  </si>
  <si>
    <t>Conservador</t>
  </si>
  <si>
    <t>Moderado</t>
  </si>
  <si>
    <t>Agressivo</t>
  </si>
  <si>
    <t>Renda Fixa</t>
  </si>
  <si>
    <t>FIIs</t>
  </si>
  <si>
    <t>Ações</t>
  </si>
  <si>
    <t>ETFs</t>
  </si>
  <si>
    <t>PERFIL DO INVESTIDOR</t>
  </si>
  <si>
    <t>Distribuição da carteira por perfil</t>
  </si>
  <si>
    <t>Perfil selecionado</t>
  </si>
  <si>
    <t>Distribuição</t>
  </si>
  <si>
    <t>Total</t>
  </si>
  <si>
    <t>2 anos</t>
  </si>
  <si>
    <t>5 anos</t>
  </si>
  <si>
    <t>10 anos</t>
  </si>
  <si>
    <t>20 anos</t>
  </si>
  <si>
    <t>30 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</si>
</sst>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#,##0.00;[Red]\-&quot;R$&quot;#,##0.00"/>
    <numFmt numFmtId="164" formatCode="&quot;R$&quot;#,##0.00"/>
  </numFmts>
  <fonts count="7" x14ac:knownFonts="1">
    <font>
      <sz val="11"/>
      <color theme="1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2"/>
      <color rgb="FF00E6A1"/>
      <name val="Aptos Narrow"/>
      <family val="2"/>
      <scheme val="minor"/>
    </font>
    <font>
      <sz val="11"/>
      <color rgb="FF00252E"/>
      <name val="Aptos Narrow"/>
      <family val="2"/>
      <scheme val="minor"/>
    </font>
    <font>
      <b/>
      <sz val="11"/>
      <color rgb="FF00252E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52E"/>
        <bgColor indexed="64"/>
      </patternFill>
    </fill>
    <fill>
      <patternFill patternType="solid">
        <fgColor rgb="FF00C98B"/>
        <bgColor indexed="64"/>
      </patternFill>
    </fill>
    <fill>
      <patternFill patternType="solid">
        <fgColor rgb="FFD9F7EC"/>
        <bgColor indexed="64"/>
      </patternFill>
    </fill>
    <fill>
      <patternFill patternType="solid">
        <fgColor rgb="FF0B4552"/>
        <bgColor indexed="64"/>
      </patternFill>
    </fill>
  </fills>
  <borders count="24">
    <border>
      <left/>
      <right/>
      <top/>
      <bottom/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00252E"/>
      </left>
      <right/>
      <top style="thin">
        <color rgb="FF00252E"/>
      </top>
      <bottom/>
      <diagonal/>
    </border>
    <border>
      <left/>
      <right/>
      <top style="thin">
        <color rgb="FF00252E"/>
      </top>
      <bottom/>
      <diagonal/>
    </border>
    <border>
      <left/>
      <right style="thin">
        <color rgb="FF00252E"/>
      </right>
      <top style="thin">
        <color rgb="FF00252E"/>
      </top>
      <bottom/>
      <diagonal/>
    </border>
    <border>
      <left style="thin">
        <color rgb="FF00252E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rgb="FF00252E"/>
      </right>
      <top/>
      <bottom style="thin">
        <color theme="0" tint="-0.14996795556505021"/>
      </bottom>
      <diagonal/>
    </border>
    <border>
      <left style="thin">
        <color rgb="FF00252E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rgb="FF00252E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00252E"/>
      </left>
      <right style="thin">
        <color theme="0" tint="-0.14996795556505021"/>
      </right>
      <top style="thin">
        <color theme="0" tint="-0.14996795556505021"/>
      </top>
      <bottom style="thin">
        <color rgb="FF00252E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rgb="FF00252E"/>
      </bottom>
      <diagonal/>
    </border>
    <border>
      <left style="thin">
        <color theme="0" tint="-0.14996795556505021"/>
      </left>
      <right style="thin">
        <color rgb="FF00252E"/>
      </right>
      <top style="thin">
        <color theme="0" tint="-0.14996795556505021"/>
      </top>
      <bottom style="thin">
        <color rgb="FF00252E"/>
      </bottom>
      <diagonal/>
    </border>
    <border>
      <left style="thin">
        <color rgb="FF00252E"/>
      </left>
      <right style="thin">
        <color theme="0" tint="-0.14996795556505021"/>
      </right>
      <top style="thin">
        <color rgb="FF00252E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rgb="FF00252E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rgb="FF00252E"/>
      </right>
      <top style="thin">
        <color rgb="FF00252E"/>
      </top>
      <bottom style="thin">
        <color theme="0" tint="-0.14996795556505021"/>
      </bottom>
      <diagonal/>
    </border>
    <border>
      <left/>
      <right style="thick">
        <color theme="0"/>
      </right>
      <top/>
      <bottom/>
      <diagonal/>
    </border>
    <border>
      <left/>
      <right style="thin">
        <color rgb="FF00252E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rgb="FF00252E"/>
      </bottom>
      <diagonal/>
    </border>
    <border>
      <left style="thin">
        <color theme="0" tint="-0.14996795556505021"/>
      </left>
      <right style="thin">
        <color rgb="FF00252E"/>
      </right>
      <top/>
      <bottom style="thin">
        <color rgb="FF00252E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vertical="center"/>
    </xf>
    <xf numFmtId="0" fontId="6" fillId="3" borderId="0" xfId="0" applyFont="1" applyFill="1" applyAlignment="1">
      <alignment horizontal="center" vertical="center"/>
    </xf>
    <xf numFmtId="9" fontId="0" fillId="0" borderId="0" xfId="0" applyNumberFormat="1"/>
    <xf numFmtId="0" fontId="3" fillId="2" borderId="0" xfId="0" applyFont="1" applyFill="1"/>
    <xf numFmtId="9" fontId="3" fillId="2" borderId="0" xfId="0" applyNumberFormat="1" applyFont="1" applyFill="1"/>
    <xf numFmtId="0" fontId="5" fillId="0" borderId="0" xfId="0" applyFont="1" applyAlignment="1">
      <alignment horizontal="left" indent="2"/>
    </xf>
    <xf numFmtId="164" fontId="5" fillId="0" borderId="5" xfId="0" applyNumberFormat="1" applyFont="1" applyBorder="1"/>
    <xf numFmtId="8" fontId="5" fillId="0" borderId="5" xfId="0" applyNumberFormat="1" applyFont="1" applyBorder="1"/>
    <xf numFmtId="8" fontId="5" fillId="0" borderId="6" xfId="0" applyNumberFormat="1" applyFont="1" applyBorder="1"/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164" fontId="5" fillId="0" borderId="11" xfId="0" applyNumberFormat="1" applyFont="1" applyBorder="1"/>
    <xf numFmtId="8" fontId="5" fillId="0" borderId="15" xfId="0" applyNumberFormat="1" applyFont="1" applyBorder="1"/>
    <xf numFmtId="1" fontId="2" fillId="0" borderId="21" xfId="0" applyNumberFormat="1" applyFont="1" applyBorder="1"/>
    <xf numFmtId="0" fontId="5" fillId="0" borderId="10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164" fontId="5" fillId="0" borderId="22" xfId="0" applyNumberFormat="1" applyFont="1" applyBorder="1"/>
    <xf numFmtId="8" fontId="5" fillId="0" borderId="22" xfId="0" applyNumberFormat="1" applyFont="1" applyBorder="1"/>
    <xf numFmtId="164" fontId="5" fillId="0" borderId="23" xfId="0" applyNumberFormat="1" applyFont="1" applyBorder="1"/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164" fontId="0" fillId="4" borderId="3" xfId="0" applyNumberFormat="1" applyFill="1" applyBorder="1" applyAlignment="1" applyProtection="1">
      <alignment horizontal="center"/>
      <protection locked="0"/>
    </xf>
    <xf numFmtId="164" fontId="0" fillId="4" borderId="4" xfId="0" applyNumberFormat="1" applyFill="1" applyBorder="1" applyAlignment="1" applyProtection="1">
      <alignment horizontal="center"/>
      <protection locked="0"/>
    </xf>
    <xf numFmtId="10" fontId="0" fillId="4" borderId="3" xfId="0" applyNumberFormat="1" applyFill="1" applyBorder="1" applyAlignment="1" applyProtection="1">
      <alignment horizontal="center"/>
      <protection locked="0"/>
    </xf>
    <xf numFmtId="10" fontId="0" fillId="4" borderId="4" xfId="0" applyNumberFormat="1" applyFill="1" applyBorder="1" applyAlignment="1" applyProtection="1">
      <alignment horizontal="center"/>
      <protection locked="0"/>
    </xf>
    <xf numFmtId="164" fontId="3" fillId="5" borderId="0" xfId="0" applyNumberFormat="1" applyFont="1" applyFill="1" applyAlignment="1">
      <alignment horizontal="center"/>
    </xf>
    <xf numFmtId="1" fontId="0" fillId="4" borderId="3" xfId="0" applyNumberFormat="1" applyFill="1" applyBorder="1" applyAlignment="1" applyProtection="1">
      <alignment horizontal="center"/>
      <protection locked="0"/>
    </xf>
    <xf numFmtId="1" fontId="0" fillId="4" borderId="4" xfId="0" applyNumberFormat="1" applyFill="1" applyBorder="1" applyAlignment="1" applyProtection="1">
      <alignment horizontal="center"/>
      <protection locked="0"/>
    </xf>
    <xf numFmtId="8" fontId="3" fillId="5" borderId="0" xfId="0" applyNumberFormat="1" applyFont="1" applyFill="1" applyAlignment="1">
      <alignment horizontal="center"/>
    </xf>
    <xf numFmtId="0" fontId="6" fillId="3" borderId="17" xfId="0" applyFont="1" applyFill="1" applyBorder="1" applyAlignment="1">
      <alignment horizontal="center" vertical="center"/>
    </xf>
    <xf numFmtId="0" fontId="6" fillId="3" borderId="18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0" fillId="2" borderId="2" xfId="0" applyFont="1" applyFill="1" applyBorder="1" applyAlignment="1" applyProtection="1">
      <alignment horizontal="center" vertical="center"/>
      <protection locked="0"/>
    </xf>
    <xf numFmtId="0" fontId="6" fillId="3" borderId="0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9" fontId="5" fillId="0" borderId="6" xfId="0" applyNumberFormat="1" applyFont="1" applyBorder="1" applyAlignment="1">
      <alignment horizontal="center"/>
    </xf>
    <xf numFmtId="9" fontId="5" fillId="0" borderId="13" xfId="0" applyNumberFormat="1" applyFont="1" applyBorder="1" applyAlignment="1">
      <alignment horizontal="center"/>
    </xf>
    <xf numFmtId="9" fontId="3" fillId="2" borderId="15" xfId="0" applyNumberFormat="1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0" borderId="12" xfId="0" applyFont="1" applyBorder="1" applyAlignment="1">
      <alignment horizontal="left" indent="2"/>
    </xf>
    <xf numFmtId="0" fontId="5" fillId="0" borderId="6" xfId="0" applyFont="1" applyBorder="1" applyAlignment="1">
      <alignment horizontal="left" indent="2"/>
    </xf>
    <xf numFmtId="0" fontId="3" fillId="2" borderId="14" xfId="0" applyFont="1" applyFill="1" applyBorder="1" applyAlignment="1">
      <alignment horizontal="left" indent="2"/>
    </xf>
    <xf numFmtId="0" fontId="3" fillId="2" borderId="15" xfId="0" applyFont="1" applyFill="1" applyBorder="1" applyAlignment="1">
      <alignment horizontal="left" indent="2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252E"/>
      <color rgb="FF00E6A1"/>
      <color rgb="FF00C98B"/>
      <color rgb="FF0B4552"/>
      <color rgb="FFD9F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Evolução do Patrimônio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CENÁRIOS!$C$6</c:f>
              <c:strCache>
                <c:ptCount val="1"/>
                <c:pt idx="0">
                  <c:v>Total investido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CENÁRIOS!$B$7:$B$11</c:f>
              <c:strCache>
                <c:ptCount val="5"/>
                <c:pt idx="0">
                  <c:v>2 anos</c:v>
                </c:pt>
                <c:pt idx="1">
                  <c:v>5 anos</c:v>
                </c:pt>
                <c:pt idx="2">
                  <c:v>10 anos</c:v>
                </c:pt>
                <c:pt idx="3">
                  <c:v>20 anos</c:v>
                </c:pt>
                <c:pt idx="4">
                  <c:v>30 anos</c:v>
                </c:pt>
              </c:strCache>
            </c:strRef>
          </c:cat>
          <c:val>
            <c:numRef>
              <c:f>CENÁRIOS!$C$7:$C$11</c:f>
              <c:numCache>
                <c:formatCode>"R$"#,##0.00</c:formatCode>
                <c:ptCount val="5"/>
                <c:pt idx="0">
                  <c:v>12000</c:v>
                </c:pt>
                <c:pt idx="1">
                  <c:v>30000</c:v>
                </c:pt>
                <c:pt idx="2">
                  <c:v>60000</c:v>
                </c:pt>
                <c:pt idx="3">
                  <c:v>120000</c:v>
                </c:pt>
                <c:pt idx="4">
                  <c:v>180000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6A-435D-8082-1E5488071AD9}"/>
            </c:ext>
          </c:extLst>
        </c:ser>
        <c:ser>
          <c:idx val="2"/>
          <c:order val="1"/>
          <c:tx>
            <c:strRef>
              <c:f>CENÁRIOS!$D$6</c:f>
              <c:strCache>
                <c:ptCount val="1"/>
                <c:pt idx="0">
                  <c:v>Patrimônio acumulado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CENÁRIOS!$B$7:$B$11</c:f>
              <c:strCache>
                <c:ptCount val="5"/>
                <c:pt idx="0">
                  <c:v>2 anos</c:v>
                </c:pt>
                <c:pt idx="1">
                  <c:v>5 anos</c:v>
                </c:pt>
                <c:pt idx="2">
                  <c:v>10 anos</c:v>
                </c:pt>
                <c:pt idx="3">
                  <c:v>20 anos</c:v>
                </c:pt>
                <c:pt idx="4">
                  <c:v>30 anos</c:v>
                </c:pt>
              </c:strCache>
            </c:strRef>
          </c:cat>
          <c:val>
            <c:numRef>
              <c:f>CENÁRIOS!$D$7:$D$11</c:f>
              <c:numCache>
                <c:formatCode>"R$"#,##0.00_);[Red]\("R$"#,##0.00\)</c:formatCode>
                <c:ptCount val="5"/>
                <c:pt idx="0">
                  <c:v>13171.577555559783</c:v>
                </c:pt>
                <c:pt idx="1">
                  <c:v>38311.933415940111</c:v>
                </c:pt>
                <c:pt idx="2">
                  <c:v>100108.73470495906</c:v>
                </c:pt>
                <c:pt idx="3">
                  <c:v>360565.60963756416</c:v>
                </c:pt>
                <c:pt idx="4">
                  <c:v>1038206.6156855426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A-435D-8082-1E5488071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9332511"/>
        <c:axId val="696023823"/>
      </c:lineChart>
      <c:catAx>
        <c:axId val="549332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6023823"/>
        <c:crosses val="autoZero"/>
        <c:auto val="1"/>
        <c:lblAlgn val="ctr"/>
        <c:lblOffset val="100"/>
        <c:noMultiLvlLbl val="0"/>
      </c:catAx>
      <c:valAx>
        <c:axId val="696023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332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00252E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bg1"/>
                </a:solidFill>
              </a:rPr>
              <a:t>Distribuição da Carteira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PERFIL!$E$8</c:f>
              <c:strCache>
                <c:ptCount val="1"/>
                <c:pt idx="0">
                  <c:v>Distribuição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1D2-4AEB-8858-1D36976CA1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D2-4AEB-8858-1D36976CA1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21D2-4AEB-8858-1D36976CA1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1D2-4AEB-8858-1D36976CA1B0}"/>
              </c:ext>
            </c:extLst>
          </c:dPt>
          <c:dLbls>
            <c:dLbl>
              <c:idx val="0"/>
              <c:layout>
                <c:manualLayout>
                  <c:x val="9.2704560041326739E-2"/>
                  <c:y val="7.49528003914764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569063594677125"/>
                      <c:h val="0.11673082531350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1D2-4AEB-8858-1D36976CA1B0}"/>
                </c:ext>
              </c:extLst>
            </c:dLbl>
            <c:dLbl>
              <c:idx val="1"/>
              <c:layout>
                <c:manualLayout>
                  <c:x val="-5.8244652818000134E-2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1506888487188129"/>
                      <c:h val="0.11673082531350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1D2-4AEB-8858-1D36976CA1B0}"/>
                </c:ext>
              </c:extLst>
            </c:dLbl>
            <c:dLbl>
              <c:idx val="2"/>
              <c:layout>
                <c:manualLayout>
                  <c:x val="-6.9301357211064327E-2"/>
                  <c:y val="-6.52541483162062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4681577254205092"/>
                      <c:h val="0.11673082531350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21D2-4AEB-8858-1D36976CA1B0}"/>
                </c:ext>
              </c:extLst>
            </c:dLbl>
            <c:dLbl>
              <c:idx val="3"/>
              <c:layout>
                <c:manualLayout>
                  <c:x val="-2.548655573122947E-2"/>
                  <c:y val="-0.1018518617376217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195216356710275"/>
                      <c:h val="0.11673082531350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21D2-4AEB-8858-1D36976CA1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none" lIns="38100" tIns="19050" rIns="38100" bIns="19050" anchor="t" anchorCtr="0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PERFIL!$B$9:$B$12</c:f>
              <c:strCache>
                <c:ptCount val="4"/>
                <c:pt idx="0">
                  <c:v>Renda Fixa</c:v>
                </c:pt>
                <c:pt idx="1">
                  <c:v>FIIs</c:v>
                </c:pt>
                <c:pt idx="2">
                  <c:v>Ações</c:v>
                </c:pt>
                <c:pt idx="3">
                  <c:v>ETFs</c:v>
                </c:pt>
              </c:strCache>
            </c:strRef>
          </c:cat>
          <c:val>
            <c:numRef>
              <c:f>PERFIL!$E$9:$E$12</c:f>
              <c:numCache>
                <c:formatCode>0%</c:formatCode>
                <c:ptCount val="4"/>
                <c:pt idx="0">
                  <c:v>0.2</c:v>
                </c:pt>
                <c:pt idx="1">
                  <c:v>0.25</c:v>
                </c:pt>
                <c:pt idx="2">
                  <c:v>0.35</c:v>
                </c:pt>
                <c:pt idx="3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2-4AEB-8858-1D36976CA1B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00252E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600074</xdr:colOff>
      <xdr:row>12</xdr:row>
      <xdr:rowOff>0</xdr:rowOff>
    </xdr:from>
    <xdr:to>
      <xdr:col>5</xdr:col>
      <xdr:colOff>1057274</xdr:colOff>
      <xdr:row>25</xdr:row>
      <xdr:rowOff>123826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AC0AFA0-8B75-C225-7300-1479E2AD3A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571499</xdr:colOff>
      <xdr:row>14</xdr:row>
      <xdr:rowOff>0</xdr:rowOff>
    </xdr:from>
    <xdr:to>
      <xdr:col>5</xdr:col>
      <xdr:colOff>1809749</xdr:colOff>
      <xdr:row>28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31A0DC5-1865-24E7-71E3-F40E49F009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DCC7-29C5-4FCA-A3A8-49FB95C01093}">
  <dimension ref="A2:J26"/>
  <sheetViews>
    <sheetView showGridLines="0" showRowColHeaders="0" tabSelected="1" workbookViewId="0">
      <selection activeCell="H8" sqref="H8:I8"/>
    </sheetView>
  </sheetViews>
  <sheetFormatPr defaultColWidth="0" defaultRowHeight="15" x14ac:dyDescent="0.25"/>
  <cols>
    <col min="1" max="4" width="9.140625" customWidth="1"/>
    <col min="5" max="5" width="10.28515625" bestFit="1" customWidth="1"/>
    <col min="6" max="6" width="2.28515625" customWidth="1"/>
    <col min="7" max="7" width="9.140625" customWidth="1"/>
    <col min="8" max="8" width="13.28515625" customWidth="1"/>
    <col min="9" max="9" width="12.42578125" bestFit="1" customWidth="1"/>
    <col min="10" max="10" width="9.140625" customWidth="1"/>
    <col min="11" max="16384" width="9.140625" hidden="1"/>
  </cols>
  <sheetData>
    <row r="2" spans="1:9" x14ac:dyDescent="0.25">
      <c r="B2" s="22" t="s">
        <v>1</v>
      </c>
      <c r="C2" s="23"/>
      <c r="D2" s="23"/>
      <c r="E2" s="23"/>
      <c r="F2" s="23"/>
      <c r="G2" s="23"/>
      <c r="H2" s="23"/>
      <c r="I2" s="23"/>
    </row>
    <row r="3" spans="1:9" ht="23.25" customHeight="1" x14ac:dyDescent="0.25">
      <c r="A3" s="1"/>
      <c r="B3" s="23"/>
      <c r="C3" s="23"/>
      <c r="D3" s="23"/>
      <c r="E3" s="23"/>
      <c r="F3" s="23"/>
      <c r="G3" s="23"/>
      <c r="H3" s="23"/>
      <c r="I3" s="23"/>
    </row>
    <row r="4" spans="1:9" ht="15.75" x14ac:dyDescent="0.25">
      <c r="B4" s="24" t="s">
        <v>2</v>
      </c>
      <c r="C4" s="25"/>
      <c r="D4" s="25"/>
      <c r="E4" s="25"/>
      <c r="F4" s="25"/>
      <c r="G4" s="25"/>
      <c r="H4" s="25"/>
      <c r="I4" s="25"/>
    </row>
    <row r="6" spans="1:9" ht="24.95" customHeight="1" x14ac:dyDescent="0.25">
      <c r="B6" s="26" t="s">
        <v>0</v>
      </c>
      <c r="C6" s="26"/>
      <c r="D6" s="26"/>
      <c r="E6" s="26"/>
      <c r="F6" s="26"/>
      <c r="G6" s="26"/>
      <c r="H6" s="26"/>
      <c r="I6" s="26"/>
    </row>
    <row r="7" spans="1:9" ht="6.95" customHeight="1" x14ac:dyDescent="0.25"/>
    <row r="8" spans="1:9" x14ac:dyDescent="0.25">
      <c r="B8" s="6" t="s">
        <v>7</v>
      </c>
      <c r="H8" s="27">
        <v>5000</v>
      </c>
      <c r="I8" s="28"/>
    </row>
    <row r="9" spans="1:9" ht="6.95" customHeight="1" x14ac:dyDescent="0.25">
      <c r="B9" s="6"/>
    </row>
    <row r="10" spans="1:9" x14ac:dyDescent="0.25">
      <c r="B10" s="6" t="s">
        <v>8</v>
      </c>
      <c r="H10" s="29">
        <v>0.1</v>
      </c>
      <c r="I10" s="30"/>
    </row>
    <row r="11" spans="1:9" ht="6.95" customHeight="1" x14ac:dyDescent="0.25">
      <c r="B11" s="6"/>
    </row>
    <row r="12" spans="1:9" x14ac:dyDescent="0.25">
      <c r="B12" s="6" t="s">
        <v>9</v>
      </c>
      <c r="H12" s="31">
        <f>renda_mensal*percentual_investir</f>
        <v>500</v>
      </c>
      <c r="I12" s="31"/>
    </row>
    <row r="13" spans="1:9" ht="6.95" customHeight="1" x14ac:dyDescent="0.25">
      <c r="B13" s="6"/>
    </row>
    <row r="14" spans="1:9" x14ac:dyDescent="0.25">
      <c r="B14" s="6" t="s">
        <v>10</v>
      </c>
      <c r="H14" s="29">
        <v>8.0000000000000002E-3</v>
      </c>
      <c r="I14" s="30"/>
    </row>
    <row r="15" spans="1:9" ht="6.95" customHeight="1" x14ac:dyDescent="0.25">
      <c r="B15" s="6"/>
    </row>
    <row r="16" spans="1:9" x14ac:dyDescent="0.25">
      <c r="B16" s="6" t="s">
        <v>11</v>
      </c>
      <c r="H16" s="32">
        <v>2</v>
      </c>
      <c r="I16" s="33"/>
    </row>
    <row r="18" spans="2:9" ht="24.95" customHeight="1" x14ac:dyDescent="0.25">
      <c r="B18" s="26" t="s">
        <v>3</v>
      </c>
      <c r="C18" s="26"/>
      <c r="D18" s="26"/>
      <c r="E18" s="26"/>
      <c r="F18" s="26"/>
      <c r="G18" s="26"/>
      <c r="H18" s="26"/>
      <c r="I18" s="26"/>
    </row>
    <row r="19" spans="2:9" ht="6.95" customHeight="1" x14ac:dyDescent="0.25"/>
    <row r="20" spans="2:9" x14ac:dyDescent="0.25">
      <c r="B20" s="6" t="s">
        <v>6</v>
      </c>
      <c r="H20" s="31">
        <f>investimento_mensal*12*periodo_investimento</f>
        <v>12000</v>
      </c>
      <c r="I20" s="31"/>
    </row>
    <row r="21" spans="2:9" ht="6.95" customHeight="1" x14ac:dyDescent="0.25">
      <c r="B21" s="6"/>
    </row>
    <row r="22" spans="2:9" x14ac:dyDescent="0.25">
      <c r="B22" s="6" t="s">
        <v>12</v>
      </c>
      <c r="H22" s="34">
        <f>FV(taxa_mensal,periodo_investimento*12,-investimento_mensal,0,0)</f>
        <v>13171.577555559783</v>
      </c>
      <c r="I22" s="34"/>
    </row>
    <row r="23" spans="2:9" ht="6.95" customHeight="1" x14ac:dyDescent="0.25">
      <c r="B23" s="6"/>
    </row>
    <row r="24" spans="2:9" x14ac:dyDescent="0.25">
      <c r="B24" s="6" t="s">
        <v>4</v>
      </c>
      <c r="H24" s="34">
        <f>patrimonio_acumulado-total_investido</f>
        <v>1171.5775555597829</v>
      </c>
      <c r="I24" s="34"/>
    </row>
    <row r="25" spans="2:9" ht="6.95" customHeight="1" x14ac:dyDescent="0.25">
      <c r="B25" s="6"/>
    </row>
    <row r="26" spans="2:9" x14ac:dyDescent="0.25">
      <c r="B26" s="6" t="s">
        <v>5</v>
      </c>
      <c r="H26" s="34">
        <f>patrimonio_acumulado*taxa_mensal</f>
        <v>105.37262044447827</v>
      </c>
      <c r="I26" s="34"/>
    </row>
  </sheetData>
  <sheetProtection sheet="1" objects="1" scenarios="1"/>
  <mergeCells count="13">
    <mergeCell ref="H24:I24"/>
    <mergeCell ref="H26:I26"/>
    <mergeCell ref="B18:I18"/>
    <mergeCell ref="H12:I12"/>
    <mergeCell ref="H14:I14"/>
    <mergeCell ref="H16:I16"/>
    <mergeCell ref="H20:I20"/>
    <mergeCell ref="H22:I22"/>
    <mergeCell ref="B2:I3"/>
    <mergeCell ref="B4:I4"/>
    <mergeCell ref="B6:I6"/>
    <mergeCell ref="H8:I8"/>
    <mergeCell ref="H10:I1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69112-01B2-4FBD-B688-7D45ACB01A88}">
  <dimension ref="A2:G34"/>
  <sheetViews>
    <sheetView showGridLines="0" workbookViewId="0">
      <selection activeCell="F28" sqref="F28"/>
    </sheetView>
  </sheetViews>
  <sheetFormatPr defaultColWidth="0" defaultRowHeight="15" x14ac:dyDescent="0.25"/>
  <cols>
    <col min="1" max="1" width="9.140625" customWidth="1"/>
    <col min="2" max="2" width="9.5703125" customWidth="1"/>
    <col min="3" max="3" width="14.42578125" bestFit="1" customWidth="1"/>
    <col min="4" max="4" width="22.5703125" customWidth="1"/>
    <col min="5" max="5" width="12.140625" bestFit="1" customWidth="1"/>
    <col min="6" max="6" width="16.140625" customWidth="1"/>
    <col min="7" max="7" width="9.140625" customWidth="1"/>
    <col min="8" max="16384" width="9.140625" hidden="1"/>
  </cols>
  <sheetData>
    <row r="2" spans="1:6" x14ac:dyDescent="0.25">
      <c r="B2" s="22" t="s">
        <v>13</v>
      </c>
      <c r="C2" s="23"/>
      <c r="D2" s="23"/>
      <c r="E2" s="23"/>
      <c r="F2" s="23"/>
    </row>
    <row r="3" spans="1:6" ht="23.25" customHeight="1" x14ac:dyDescent="0.25">
      <c r="B3" s="23"/>
      <c r="C3" s="23"/>
      <c r="D3" s="23"/>
      <c r="E3" s="23"/>
      <c r="F3" s="23"/>
    </row>
    <row r="4" spans="1:6" ht="15.75" x14ac:dyDescent="0.25">
      <c r="B4" s="24" t="s">
        <v>14</v>
      </c>
      <c r="C4" s="25"/>
      <c r="D4" s="25"/>
      <c r="E4" s="25"/>
      <c r="F4" s="25"/>
    </row>
    <row r="6" spans="1:6" x14ac:dyDescent="0.25">
      <c r="B6" s="10" t="s">
        <v>15</v>
      </c>
      <c r="C6" s="11" t="s">
        <v>6</v>
      </c>
      <c r="D6" s="11" t="s">
        <v>12</v>
      </c>
      <c r="E6" s="11" t="s">
        <v>16</v>
      </c>
      <c r="F6" s="12" t="s">
        <v>17</v>
      </c>
    </row>
    <row r="7" spans="1:6" x14ac:dyDescent="0.25">
      <c r="A7" s="15">
        <v>2</v>
      </c>
      <c r="B7" s="16" t="s">
        <v>31</v>
      </c>
      <c r="C7" s="7">
        <f>investimento_mensal*12*A7</f>
        <v>12000</v>
      </c>
      <c r="D7" s="8">
        <f>FV(taxa_mensal,A7*12,-investimento_mensal,0,0)</f>
        <v>13171.577555559783</v>
      </c>
      <c r="E7" s="8">
        <f>D7-C7</f>
        <v>1171.5775555597829</v>
      </c>
      <c r="F7" s="13">
        <f>D7*taxa_mensal</f>
        <v>105.37262044447827</v>
      </c>
    </row>
    <row r="8" spans="1:6" x14ac:dyDescent="0.25">
      <c r="A8" s="15">
        <v>5</v>
      </c>
      <c r="B8" s="17" t="s">
        <v>32</v>
      </c>
      <c r="C8" s="7">
        <f>investimento_mensal*12*A8</f>
        <v>30000</v>
      </c>
      <c r="D8" s="8">
        <f>FV(taxa_mensal,A8*12,-investimento_mensal,0,0)</f>
        <v>38311.933415940111</v>
      </c>
      <c r="E8" s="9">
        <f>D8-C8</f>
        <v>8311.9334159401114</v>
      </c>
      <c r="F8" s="13">
        <f>D8*taxa_mensal</f>
        <v>306.49546732752088</v>
      </c>
    </row>
    <row r="9" spans="1:6" x14ac:dyDescent="0.25">
      <c r="A9" s="15">
        <v>10</v>
      </c>
      <c r="B9" s="17" t="s">
        <v>33</v>
      </c>
      <c r="C9" s="7">
        <f>investimento_mensal*12*A9</f>
        <v>60000</v>
      </c>
      <c r="D9" s="8">
        <f>FV(taxa_mensal,A9*12,-investimento_mensal,0,0)</f>
        <v>100108.73470495906</v>
      </c>
      <c r="E9" s="9">
        <f t="shared" ref="E9:E11" si="0">D9-C9</f>
        <v>40108.734704959061</v>
      </c>
      <c r="F9" s="13">
        <f>D9*taxa_mensal</f>
        <v>800.8698776396725</v>
      </c>
    </row>
    <row r="10" spans="1:6" x14ac:dyDescent="0.25">
      <c r="A10" s="15">
        <v>20</v>
      </c>
      <c r="B10" s="17" t="s">
        <v>34</v>
      </c>
      <c r="C10" s="7">
        <f>investimento_mensal*12*A10</f>
        <v>120000</v>
      </c>
      <c r="D10" s="8">
        <f>FV(taxa_mensal,A10*12,-investimento_mensal,0,0)</f>
        <v>360565.60963756416</v>
      </c>
      <c r="E10" s="9">
        <f>D10-C10</f>
        <v>240565.60963756416</v>
      </c>
      <c r="F10" s="13">
        <f>D10*taxa_mensal</f>
        <v>2884.5248771005135</v>
      </c>
    </row>
    <row r="11" spans="1:6" x14ac:dyDescent="0.25">
      <c r="A11" s="15">
        <v>30</v>
      </c>
      <c r="B11" s="18" t="s">
        <v>35</v>
      </c>
      <c r="C11" s="19">
        <f>investimento_mensal*12*A11</f>
        <v>180000</v>
      </c>
      <c r="D11" s="20">
        <f>FV(taxa_mensal,A11*12,-investimento_mensal,0,0)</f>
        <v>1038206.6156855426</v>
      </c>
      <c r="E11" s="14">
        <f>D11-C11</f>
        <v>858206.61568554258</v>
      </c>
      <c r="F11" s="21">
        <f>D11*taxa_mensal</f>
        <v>8305.6529254843408</v>
      </c>
    </row>
    <row r="17" customFormat="1" x14ac:dyDescent="0.25"/>
    <row r="18" customFormat="1" x14ac:dyDescent="0.25"/>
    <row r="19" customFormat="1" x14ac:dyDescent="0.25"/>
    <row r="20" customFormat="1" x14ac:dyDescent="0.25"/>
    <row r="21" customFormat="1" x14ac:dyDescent="0.25"/>
    <row r="22" customFormat="1" x14ac:dyDescent="0.25"/>
    <row r="23" customFormat="1" x14ac:dyDescent="0.25"/>
    <row r="24" customFormat="1" x14ac:dyDescent="0.25"/>
    <row r="25" customFormat="1" x14ac:dyDescent="0.25"/>
    <row r="26" customFormat="1" x14ac:dyDescent="0.25"/>
    <row r="27" customFormat="1" x14ac:dyDescent="0.25"/>
    <row r="28" customFormat="1" x14ac:dyDescent="0.25"/>
    <row r="29" customFormat="1" x14ac:dyDescent="0.25"/>
    <row r="30" customFormat="1" x14ac:dyDescent="0.25"/>
    <row r="31" customFormat="1" x14ac:dyDescent="0.25"/>
    <row r="32" customFormat="1" x14ac:dyDescent="0.25"/>
    <row r="33" customFormat="1" x14ac:dyDescent="0.25"/>
    <row r="34" customFormat="1" x14ac:dyDescent="0.25"/>
  </sheetData>
  <sheetProtection sheet="1" objects="1" scenarios="1"/>
  <mergeCells count="2">
    <mergeCell ref="B2:F3"/>
    <mergeCell ref="B4:F4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A5817-F1A8-4485-9F20-7AE9EFCE1C82}">
  <dimension ref="A2:G14"/>
  <sheetViews>
    <sheetView showGridLines="0" showRowColHeaders="0" workbookViewId="0">
      <selection activeCell="E6" sqref="E6:F6"/>
    </sheetView>
  </sheetViews>
  <sheetFormatPr defaultColWidth="0" defaultRowHeight="15" x14ac:dyDescent="0.25"/>
  <cols>
    <col min="1" max="1" width="9.140625" customWidth="1"/>
    <col min="2" max="2" width="17.5703125" bestFit="1" customWidth="1"/>
    <col min="3" max="3" width="13" customWidth="1"/>
    <col min="4" max="4" width="4.42578125" customWidth="1"/>
    <col min="5" max="5" width="9.140625" customWidth="1"/>
    <col min="6" max="6" width="27.140625" customWidth="1"/>
    <col min="7" max="7" width="9.140625" customWidth="1"/>
    <col min="8" max="16384" width="9.140625" hidden="1"/>
  </cols>
  <sheetData>
    <row r="2" spans="2:6" x14ac:dyDescent="0.25">
      <c r="B2" s="22" t="s">
        <v>26</v>
      </c>
      <c r="C2" s="23"/>
      <c r="D2" s="23"/>
      <c r="E2" s="23"/>
      <c r="F2" s="23"/>
    </row>
    <row r="3" spans="2:6" ht="23.25" customHeight="1" x14ac:dyDescent="0.25">
      <c r="B3" s="23"/>
      <c r="C3" s="23"/>
      <c r="D3" s="23"/>
      <c r="E3" s="23"/>
      <c r="F3" s="23"/>
    </row>
    <row r="4" spans="2:6" ht="15.75" x14ac:dyDescent="0.25">
      <c r="B4" s="24" t="s">
        <v>27</v>
      </c>
      <c r="C4" s="25"/>
      <c r="D4" s="25"/>
      <c r="E4" s="25"/>
      <c r="F4" s="25"/>
    </row>
    <row r="5" spans="2:6" ht="15.75" thickBot="1" x14ac:dyDescent="0.3"/>
    <row r="6" spans="2:6" ht="18" customHeight="1" thickTop="1" thickBot="1" x14ac:dyDescent="0.3">
      <c r="B6" s="40" t="s">
        <v>28</v>
      </c>
      <c r="C6" s="40"/>
      <c r="D6" s="41"/>
      <c r="E6" s="38" t="s">
        <v>21</v>
      </c>
      <c r="F6" s="39"/>
    </row>
    <row r="7" spans="2:6" ht="15" customHeight="1" thickTop="1" x14ac:dyDescent="0.25"/>
    <row r="8" spans="2:6" ht="15" customHeight="1" x14ac:dyDescent="0.25">
      <c r="B8" s="35" t="s">
        <v>18</v>
      </c>
      <c r="C8" s="36"/>
      <c r="D8" s="36"/>
      <c r="E8" s="36" t="s">
        <v>29</v>
      </c>
      <c r="F8" s="37"/>
    </row>
    <row r="9" spans="2:6" ht="15" customHeight="1" x14ac:dyDescent="0.25">
      <c r="B9" s="46" t="s">
        <v>22</v>
      </c>
      <c r="C9" s="47"/>
      <c r="D9" s="47"/>
      <c r="E9" s="42">
        <f>INDEX(DADOS!$C$3:$E$6,MATCH(B9,DADOS!$B$3:$B$6,0),MATCH($E$6,DADOS!$C$2:$E$2,0))</f>
        <v>0.2</v>
      </c>
      <c r="F9" s="43"/>
    </row>
    <row r="10" spans="2:6" ht="15" customHeight="1" x14ac:dyDescent="0.25">
      <c r="B10" s="46" t="s">
        <v>23</v>
      </c>
      <c r="C10" s="47"/>
      <c r="D10" s="47"/>
      <c r="E10" s="42">
        <f>INDEX(DADOS!$C$3:$E$6,MATCH(B10,DADOS!$B$3:$B$6,0),MATCH($E$6,DADOS!$C$2:$E$2,0))</f>
        <v>0.25</v>
      </c>
      <c r="F10" s="43"/>
    </row>
    <row r="11" spans="2:6" ht="15" customHeight="1" x14ac:dyDescent="0.25">
      <c r="B11" s="46" t="s">
        <v>24</v>
      </c>
      <c r="C11" s="47"/>
      <c r="D11" s="47"/>
      <c r="E11" s="42">
        <f>INDEX(DADOS!$C$3:$E$6,MATCH(B11,DADOS!$B$3:$B$6,0),MATCH($E$6,DADOS!$C$2:$E$2,0))</f>
        <v>0.35</v>
      </c>
      <c r="F11" s="43"/>
    </row>
    <row r="12" spans="2:6" ht="15" customHeight="1" x14ac:dyDescent="0.25">
      <c r="B12" s="46" t="s">
        <v>25</v>
      </c>
      <c r="C12" s="47"/>
      <c r="D12" s="47"/>
      <c r="E12" s="42">
        <f>INDEX(DADOS!$C$3:$E$6,MATCH(B12,DADOS!$B$3:$B$6,0),MATCH($E$6,DADOS!$C$2:$E$2,0))</f>
        <v>0.2</v>
      </c>
      <c r="F12" s="43"/>
    </row>
    <row r="13" spans="2:6" ht="15" customHeight="1" x14ac:dyDescent="0.25">
      <c r="B13" s="48" t="s">
        <v>30</v>
      </c>
      <c r="C13" s="49"/>
      <c r="D13" s="49"/>
      <c r="E13" s="44">
        <f>SUM(E9:E12)</f>
        <v>1</v>
      </c>
      <c r="F13" s="45"/>
    </row>
    <row r="14" spans="2:6" x14ac:dyDescent="0.25">
      <c r="C14" s="3"/>
    </row>
  </sheetData>
  <sheetProtection sheet="1" objects="1" scenarios="1"/>
  <mergeCells count="16">
    <mergeCell ref="B9:D9"/>
    <mergeCell ref="B10:D10"/>
    <mergeCell ref="B11:D11"/>
    <mergeCell ref="B12:D12"/>
    <mergeCell ref="B13:D13"/>
    <mergeCell ref="E9:F9"/>
    <mergeCell ref="E10:F10"/>
    <mergeCell ref="E11:F11"/>
    <mergeCell ref="E12:F12"/>
    <mergeCell ref="E13:F13"/>
    <mergeCell ref="B2:F3"/>
    <mergeCell ref="B4:F4"/>
    <mergeCell ref="B8:D8"/>
    <mergeCell ref="E8:F8"/>
    <mergeCell ref="E6:F6"/>
    <mergeCell ref="B6:D6"/>
  </mergeCells>
  <dataValidations count="1">
    <dataValidation type="list" allowBlank="1" showInputMessage="1" showErrorMessage="1" sqref="E6" xr:uid="{E0102A38-0475-4B80-AF4E-1F2610E84CEB}">
      <formula1>"Conservador,Moderado,Agressivo"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A8986-486F-49BB-B1F2-8321E32CFA8D}">
  <dimension ref="A1:F8"/>
  <sheetViews>
    <sheetView showGridLines="0" workbookViewId="0">
      <selection activeCell="A9" sqref="A9:XFD1048576"/>
    </sheetView>
  </sheetViews>
  <sheetFormatPr defaultColWidth="0" defaultRowHeight="15" zeroHeight="1" x14ac:dyDescent="0.25"/>
  <cols>
    <col min="1" max="1" width="9.140625" customWidth="1"/>
    <col min="2" max="2" width="10.5703125" bestFit="1" customWidth="1"/>
    <col min="3" max="3" width="12.5703125" bestFit="1" customWidth="1"/>
    <col min="4" max="4" width="10" bestFit="1" customWidth="1"/>
    <col min="5" max="5" width="9.7109375" bestFit="1" customWidth="1"/>
    <col min="6" max="6" width="10.5703125" bestFit="1" customWidth="1"/>
    <col min="7" max="16384" width="9.140625" hidden="1"/>
  </cols>
  <sheetData>
    <row r="1" spans="2:5" x14ac:dyDescent="0.25"/>
    <row r="2" spans="2:5" x14ac:dyDescent="0.25">
      <c r="B2" s="2" t="s">
        <v>18</v>
      </c>
      <c r="C2" s="2" t="s">
        <v>19</v>
      </c>
      <c r="D2" s="2" t="s">
        <v>20</v>
      </c>
      <c r="E2" s="2" t="s">
        <v>21</v>
      </c>
    </row>
    <row r="3" spans="2:5" x14ac:dyDescent="0.25">
      <c r="B3" t="s">
        <v>22</v>
      </c>
      <c r="C3" s="3">
        <v>0.7</v>
      </c>
      <c r="D3" s="3">
        <v>0.4</v>
      </c>
      <c r="E3" s="3">
        <v>0.2</v>
      </c>
    </row>
    <row r="4" spans="2:5" x14ac:dyDescent="0.25">
      <c r="B4" t="s">
        <v>23</v>
      </c>
      <c r="C4" s="3">
        <v>0.15</v>
      </c>
      <c r="D4" s="3">
        <v>0.25</v>
      </c>
      <c r="E4" s="3">
        <v>0.25</v>
      </c>
    </row>
    <row r="5" spans="2:5" x14ac:dyDescent="0.25">
      <c r="B5" t="s">
        <v>24</v>
      </c>
      <c r="C5" s="3">
        <v>0.05</v>
      </c>
      <c r="D5" s="3">
        <v>0.2</v>
      </c>
      <c r="E5" s="3">
        <v>0.35</v>
      </c>
    </row>
    <row r="6" spans="2:5" x14ac:dyDescent="0.25">
      <c r="B6" t="s">
        <v>25</v>
      </c>
      <c r="C6" s="3">
        <v>0.1</v>
      </c>
      <c r="D6" s="3">
        <v>0.15</v>
      </c>
      <c r="E6" s="3">
        <v>0.2</v>
      </c>
    </row>
    <row r="7" spans="2:5" x14ac:dyDescent="0.25">
      <c r="B7" s="4" t="s">
        <v>30</v>
      </c>
      <c r="C7" s="5">
        <f>SUM(C3:C6)</f>
        <v>1</v>
      </c>
      <c r="D7" s="5">
        <f>SUM(D3:D6)</f>
        <v>1</v>
      </c>
      <c r="E7" s="5">
        <f>SUM(E3:E6)</f>
        <v>1</v>
      </c>
    </row>
    <row r="8" spans="2:5" x14ac:dyDescent="0.25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9</vt:i4>
      </vt:variant>
    </vt:vector>
  </HeadingPairs>
  <TitlesOfParts>
    <vt:vector size="13" baseType="lpstr">
      <vt:lpstr>SIMULADOR</vt:lpstr>
      <vt:lpstr>CENÁRIOS</vt:lpstr>
      <vt:lpstr>PERFIL</vt:lpstr>
      <vt:lpstr>DADOS</vt:lpstr>
      <vt:lpstr>investimento_mensal</vt:lpstr>
      <vt:lpstr>patrimonio_acumulado</vt:lpstr>
      <vt:lpstr>percentual_investir</vt:lpstr>
      <vt:lpstr>periodo_investimento</vt:lpstr>
      <vt:lpstr>renda_estimada</vt:lpstr>
      <vt:lpstr>renda_mensal</vt:lpstr>
      <vt:lpstr>rendimento_obtido</vt:lpstr>
      <vt:lpstr>taxa_mensal</vt:lpstr>
      <vt:lpstr>total_investido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da Silva</dc:creator>
  <cp:lastModifiedBy>Leandro Rodrigues da Silva</cp:lastModifiedBy>
  <dcterms:created xsi:type="dcterms:W3CDTF">2026-10-01T19:00:12Z</dcterms:created>
  <dcterms:modified xsi:type="dcterms:W3CDTF">2026-10-02T16:53:36Z</dcterms:modified>
</cp:coreProperties>
</file>
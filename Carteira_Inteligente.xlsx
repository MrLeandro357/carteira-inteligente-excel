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TI - Faculdade_Cursos_e_Treinamentos\Santander Excel com IA e Claude\Carteira Inteligente\carteira-inteligente-excel\"/>
    </mc:Choice>
  </mc:AlternateContent>
  <xr:revisionPtr revIDLastSave="0" documentId="13_ncr:1_{522D50AE-C3CE-4BAF-B009-78B33AB3D862}" xr6:coauthVersionLast="47" xr6:coauthVersionMax="47" xr10:uidLastSave="{00000000-0000-0000-0000-000000000000}"/>
  <bookViews>
    <workbookView xWindow="-120" yWindow="-120" windowWidth="29040" windowHeight="15840" xr2:uid="{A57CD098-14EC-4185-B074-C651832BE373}"/>
  </bookViews>
  <sheets>
    <sheet name="SIMULADOR" sheetId="2" r:id="rId1"/>
    <sheet name="CENÁRIOS" sheetId="3" r:id="rId2"/>
    <sheet name="PERFIL" sheetId="4" r:id="rId3"/>
    <sheet name="DADOS" sheetId="5" state="hidden" r:id="rId4"/>
  </sheets>
  <definedNames>
    <definedName name="investimento_mensal">SIMULADOR!$H$17</definedName>
    <definedName name="patrimonio_acumulado">SIMULADOR!$H$27</definedName>
    <definedName name="percentual_investir">SIMULADOR!$H$15</definedName>
    <definedName name="periodo_investimento">SIMULADOR!$H$21</definedName>
    <definedName name="renda_estimada">SIMULADOR!$H$31</definedName>
    <definedName name="renda_mensal">SIMULADOR!$H$13</definedName>
    <definedName name="rendimento_obtido">SIMULADOR!$H$29</definedName>
    <definedName name="taxa_mensal">SIMULADOR!$H$19</definedName>
    <definedName name="total_investido">SIMULADOR!$H$25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7" i="2" l="1"/>
  <c r="C15" i="3" s="1"/>
  <c r="E7" i="5"/>
  <c r="D7" i="5"/>
  <c r="C7" i="5"/>
  <c r="E15" i="4"/>
  <c r="E16" i="4"/>
  <c r="E17" i="4"/>
  <c r="E14" i="4"/>
  <c r="D14" i="3" l="1"/>
  <c r="F14" i="3" s="1"/>
  <c r="C16" i="3"/>
  <c r="D12" i="3"/>
  <c r="H25" i="2"/>
  <c r="D16" i="3"/>
  <c r="D13" i="3"/>
  <c r="F13" i="3" s="1"/>
  <c r="C14" i="3"/>
  <c r="D15" i="3"/>
  <c r="H27" i="2"/>
  <c r="C12" i="3"/>
  <c r="C13" i="3"/>
  <c r="E18" i="4"/>
  <c r="F15" i="3" l="1"/>
  <c r="E15" i="3"/>
  <c r="F16" i="3"/>
  <c r="E16" i="3"/>
  <c r="F12" i="3"/>
  <c r="E12" i="3"/>
  <c r="E13" i="3"/>
  <c r="H31" i="2"/>
  <c r="H29" i="2"/>
  <c r="E14" i="3"/>
</calcChain>
</file>

<file path=xl/sharedStrings.xml><?xml version="1.0" encoding="utf-8"?>
<sst xmlns="http://schemas.openxmlformats.org/spreadsheetml/2006/main" count="45" uniqueCount="36">
  <si>
    <t>CONFIGURAÇÕES</t>
  </si>
  <si>
    <t>CARTEIRA INTELIGENTE</t>
  </si>
  <si>
    <t>Simulador de Investimentos</t>
  </si>
  <si>
    <t>RESULTADOS</t>
  </si>
  <si>
    <t>Rendimento obtido</t>
  </si>
  <si>
    <t>Renda passiva estimada</t>
  </si>
  <si>
    <t>Total investido</t>
  </si>
  <si>
    <t>Renda mensal</t>
  </si>
  <si>
    <t>Percentual para investir</t>
  </si>
  <si>
    <t>Investimento mensal</t>
  </si>
  <si>
    <t>Taxa de rendimento mensal</t>
  </si>
  <si>
    <t>Período de investimento</t>
  </si>
  <si>
    <t>Patrimônio acumulado</t>
  </si>
  <si>
    <t>CENÁRIOS DE INVESTIMENTO</t>
  </si>
  <si>
    <t>Projeção de crescimento do patrimônio</t>
  </si>
  <si>
    <t>Período</t>
  </si>
  <si>
    <t>Rendimento</t>
  </si>
  <si>
    <t>Renda passiva</t>
  </si>
  <si>
    <t>Categoria</t>
  </si>
  <si>
    <t>Conservador</t>
  </si>
  <si>
    <t>Moderado</t>
  </si>
  <si>
    <t>Agressivo</t>
  </si>
  <si>
    <t>Renda Fixa</t>
  </si>
  <si>
    <t>FIIs</t>
  </si>
  <si>
    <t>Ações</t>
  </si>
  <si>
    <t>ETFs</t>
  </si>
  <si>
    <t>PERFIL DO INVESTIDOR</t>
  </si>
  <si>
    <t>Distribuição da carteira por perfil</t>
  </si>
  <si>
    <t>Perfil selecionado</t>
  </si>
  <si>
    <t>Distribuição</t>
  </si>
  <si>
    <t>Total</t>
  </si>
  <si>
    <t>2 anos</t>
  </si>
  <si>
    <t>5 anos</t>
  </si>
  <si>
    <t>10 anos</t>
  </si>
  <si>
    <t>20 anos</t>
  </si>
  <si>
    <t>30 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</si>
</sst>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#,##0.00;[Red]\-&quot;R$&quot;#,##0.00"/>
    <numFmt numFmtId="164" formatCode="&quot;R$&quot;#,##0.00"/>
  </numFmts>
  <fonts count="7" x14ac:knownFonts="1">
    <font>
      <sz val="11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color rgb="FF00E6A1"/>
      <name val="Aptos Narrow"/>
      <family val="2"/>
      <scheme val="minor"/>
    </font>
    <font>
      <sz val="11"/>
      <color rgb="FF00252E"/>
      <name val="Aptos Narrow"/>
      <family val="2"/>
      <scheme val="minor"/>
    </font>
    <font>
      <b/>
      <sz val="11"/>
      <color rgb="FF00252E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52E"/>
        <bgColor indexed="64"/>
      </patternFill>
    </fill>
    <fill>
      <patternFill patternType="solid">
        <fgColor rgb="FF00C98B"/>
        <bgColor indexed="64"/>
      </patternFill>
    </fill>
    <fill>
      <patternFill patternType="solid">
        <fgColor rgb="FFD9F7EC"/>
        <bgColor indexed="64"/>
      </patternFill>
    </fill>
    <fill>
      <patternFill patternType="solid">
        <fgColor rgb="FF0B4552"/>
        <bgColor indexed="64"/>
      </patternFill>
    </fill>
  </fills>
  <borders count="24">
    <border>
      <left/>
      <right/>
      <top/>
      <bottom/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rgb="FF00252E"/>
      </left>
      <right/>
      <top style="thin">
        <color rgb="FF00252E"/>
      </top>
      <bottom/>
      <diagonal/>
    </border>
    <border>
      <left/>
      <right/>
      <top style="thin">
        <color rgb="FF00252E"/>
      </top>
      <bottom/>
      <diagonal/>
    </border>
    <border>
      <left/>
      <right style="thin">
        <color rgb="FF00252E"/>
      </right>
      <top style="thin">
        <color rgb="FF00252E"/>
      </top>
      <bottom/>
      <diagonal/>
    </border>
    <border>
      <left style="thin">
        <color rgb="FF00252E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rgb="FF00252E"/>
      </right>
      <top/>
      <bottom style="thin">
        <color theme="0" tint="-0.14996795556505021"/>
      </bottom>
      <diagonal/>
    </border>
    <border>
      <left style="thin">
        <color rgb="FF00252E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rgb="FF00252E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rgb="FF00252E"/>
      </left>
      <right style="thin">
        <color theme="0" tint="-0.14996795556505021"/>
      </right>
      <top style="thin">
        <color theme="0" tint="-0.14996795556505021"/>
      </top>
      <bottom style="thin">
        <color rgb="FF00252E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rgb="FF00252E"/>
      </bottom>
      <diagonal/>
    </border>
    <border>
      <left style="thin">
        <color theme="0" tint="-0.14996795556505021"/>
      </left>
      <right style="thin">
        <color rgb="FF00252E"/>
      </right>
      <top style="thin">
        <color theme="0" tint="-0.14996795556505021"/>
      </top>
      <bottom style="thin">
        <color rgb="FF00252E"/>
      </bottom>
      <diagonal/>
    </border>
    <border>
      <left style="thin">
        <color rgb="FF00252E"/>
      </left>
      <right style="thin">
        <color theme="0" tint="-0.14996795556505021"/>
      </right>
      <top style="thin">
        <color rgb="FF00252E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rgb="FF00252E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rgb="FF00252E"/>
      </right>
      <top style="thin">
        <color rgb="FF00252E"/>
      </top>
      <bottom style="thin">
        <color theme="0" tint="-0.14996795556505021"/>
      </bottom>
      <diagonal/>
    </border>
    <border>
      <left/>
      <right style="thick">
        <color theme="0"/>
      </right>
      <top/>
      <bottom/>
      <diagonal/>
    </border>
    <border>
      <left/>
      <right style="thin">
        <color rgb="FF00252E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rgb="FF00252E"/>
      </bottom>
      <diagonal/>
    </border>
    <border>
      <left style="thin">
        <color theme="0" tint="-0.14996795556505021"/>
      </left>
      <right style="thin">
        <color rgb="FF00252E"/>
      </right>
      <top/>
      <bottom style="thin">
        <color rgb="FF00252E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vertical="center"/>
    </xf>
    <xf numFmtId="0" fontId="6" fillId="3" borderId="0" xfId="0" applyFont="1" applyFill="1" applyAlignment="1">
      <alignment horizontal="center" vertical="center"/>
    </xf>
    <xf numFmtId="9" fontId="0" fillId="0" borderId="0" xfId="0" applyNumberFormat="1"/>
    <xf numFmtId="0" fontId="3" fillId="2" borderId="0" xfId="0" applyFont="1" applyFill="1"/>
    <xf numFmtId="9" fontId="3" fillId="2" borderId="0" xfId="0" applyNumberFormat="1" applyFont="1" applyFill="1"/>
    <xf numFmtId="0" fontId="5" fillId="0" borderId="0" xfId="0" applyFont="1" applyAlignment="1">
      <alignment horizontal="left" indent="2"/>
    </xf>
    <xf numFmtId="164" fontId="5" fillId="0" borderId="5" xfId="0" applyNumberFormat="1" applyFont="1" applyBorder="1"/>
    <xf numFmtId="8" fontId="5" fillId="0" borderId="5" xfId="0" applyNumberFormat="1" applyFont="1" applyBorder="1"/>
    <xf numFmtId="8" fontId="5" fillId="0" borderId="6" xfId="0" applyNumberFormat="1" applyFont="1" applyBorder="1"/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164" fontId="5" fillId="0" borderId="11" xfId="0" applyNumberFormat="1" applyFont="1" applyBorder="1"/>
    <xf numFmtId="8" fontId="5" fillId="0" borderId="15" xfId="0" applyNumberFormat="1" applyFont="1" applyBorder="1"/>
    <xf numFmtId="1" fontId="2" fillId="0" borderId="21" xfId="0" applyNumberFormat="1" applyFont="1" applyBorder="1"/>
    <xf numFmtId="0" fontId="5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164" fontId="5" fillId="0" borderId="22" xfId="0" applyNumberFormat="1" applyFont="1" applyBorder="1"/>
    <xf numFmtId="8" fontId="5" fillId="0" borderId="22" xfId="0" applyNumberFormat="1" applyFont="1" applyBorder="1"/>
    <xf numFmtId="164" fontId="5" fillId="0" borderId="23" xfId="0" applyNumberFormat="1" applyFont="1" applyBorder="1"/>
    <xf numFmtId="8" fontId="3" fillId="5" borderId="0" xfId="0" applyNumberFormat="1" applyFont="1" applyFill="1" applyAlignment="1">
      <alignment horizontal="center"/>
    </xf>
    <xf numFmtId="0" fontId="6" fillId="3" borderId="0" xfId="0" applyFont="1" applyFill="1" applyAlignment="1">
      <alignment horizontal="center" vertical="center"/>
    </xf>
    <xf numFmtId="164" fontId="3" fillId="5" borderId="0" xfId="0" applyNumberFormat="1" applyFont="1" applyFill="1" applyAlignment="1">
      <alignment horizontal="center"/>
    </xf>
    <xf numFmtId="10" fontId="0" fillId="4" borderId="3" xfId="0" applyNumberFormat="1" applyFill="1" applyBorder="1" applyAlignment="1" applyProtection="1">
      <alignment horizontal="center"/>
      <protection locked="0"/>
    </xf>
    <xf numFmtId="10" fontId="0" fillId="4" borderId="4" xfId="0" applyNumberFormat="1" applyFill="1" applyBorder="1" applyAlignment="1" applyProtection="1">
      <alignment horizontal="center"/>
      <protection locked="0"/>
    </xf>
    <xf numFmtId="1" fontId="0" fillId="4" borderId="3" xfId="0" applyNumberFormat="1" applyFill="1" applyBorder="1" applyAlignment="1" applyProtection="1">
      <alignment horizontal="center"/>
      <protection locked="0"/>
    </xf>
    <xf numFmtId="1" fontId="0" fillId="4" borderId="4" xfId="0" applyNumberFormat="1" applyFill="1" applyBorder="1" applyAlignment="1" applyProtection="1">
      <alignment horizontal="center"/>
      <protection locked="0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64" fontId="0" fillId="4" borderId="3" xfId="0" applyNumberFormat="1" applyFill="1" applyBorder="1" applyAlignment="1" applyProtection="1">
      <alignment horizontal="center"/>
      <protection locked="0"/>
    </xf>
    <xf numFmtId="164" fontId="0" fillId="4" borderId="4" xfId="0" applyNumberFormat="1" applyFill="1" applyBorder="1" applyAlignment="1" applyProtection="1">
      <alignment horizontal="center"/>
      <protection locked="0"/>
    </xf>
    <xf numFmtId="0" fontId="5" fillId="0" borderId="12" xfId="0" applyFont="1" applyBorder="1" applyAlignment="1">
      <alignment horizontal="left" indent="2"/>
    </xf>
    <xf numFmtId="0" fontId="5" fillId="0" borderId="6" xfId="0" applyFont="1" applyBorder="1" applyAlignment="1">
      <alignment horizontal="left" indent="2"/>
    </xf>
    <xf numFmtId="0" fontId="3" fillId="2" borderId="14" xfId="0" applyFont="1" applyFill="1" applyBorder="1" applyAlignment="1">
      <alignment horizontal="left" indent="2"/>
    </xf>
    <xf numFmtId="0" fontId="3" fillId="2" borderId="15" xfId="0" applyFont="1" applyFill="1" applyBorder="1" applyAlignment="1">
      <alignment horizontal="left" indent="2"/>
    </xf>
    <xf numFmtId="9" fontId="5" fillId="0" borderId="6" xfId="0" applyNumberFormat="1" applyFont="1" applyBorder="1" applyAlignment="1">
      <alignment horizontal="center"/>
    </xf>
    <xf numFmtId="9" fontId="5" fillId="0" borderId="13" xfId="0" applyNumberFormat="1" applyFont="1" applyBorder="1" applyAlignment="1">
      <alignment horizontal="center"/>
    </xf>
    <xf numFmtId="9" fontId="3" fillId="2" borderId="15" xfId="0" applyNumberFormat="1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0" fillId="2" borderId="2" xfId="0" applyFont="1" applyFill="1" applyBorder="1" applyAlignment="1" applyProtection="1">
      <alignment horizontal="center" vertical="center"/>
      <protection locked="0"/>
    </xf>
    <xf numFmtId="0" fontId="6" fillId="3" borderId="0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252E"/>
      <color rgb="FF00E6A1"/>
      <color rgb="FF00C98B"/>
      <color rgb="FF0B4552"/>
      <color rgb="FFD9F7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Evolução do Patrimônio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CENÁRIOS!$C$11</c:f>
              <c:strCache>
                <c:ptCount val="1"/>
                <c:pt idx="0">
                  <c:v>Total investido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CENÁRIOS!$B$12:$B$16</c:f>
              <c:strCache>
                <c:ptCount val="5"/>
                <c:pt idx="0">
                  <c:v>2 anos</c:v>
                </c:pt>
                <c:pt idx="1">
                  <c:v>5 anos</c:v>
                </c:pt>
                <c:pt idx="2">
                  <c:v>10 anos</c:v>
                </c:pt>
                <c:pt idx="3">
                  <c:v>20 anos</c:v>
                </c:pt>
                <c:pt idx="4">
                  <c:v>30 anos</c:v>
                </c:pt>
              </c:strCache>
            </c:strRef>
          </c:cat>
          <c:val>
            <c:numRef>
              <c:f>CENÁRIOS!$C$12:$C$16</c:f>
              <c:numCache>
                <c:formatCode>"R$"#,##0.00</c:formatCode>
                <c:ptCount val="5"/>
                <c:pt idx="0">
                  <c:v>12000</c:v>
                </c:pt>
                <c:pt idx="1">
                  <c:v>30000</c:v>
                </c:pt>
                <c:pt idx="2">
                  <c:v>60000</c:v>
                </c:pt>
                <c:pt idx="3">
                  <c:v>120000</c:v>
                </c:pt>
                <c:pt idx="4">
                  <c:v>180000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6A-435D-8082-1E5488071AD9}"/>
            </c:ext>
          </c:extLst>
        </c:ser>
        <c:ser>
          <c:idx val="2"/>
          <c:order val="1"/>
          <c:tx>
            <c:strRef>
              <c:f>CENÁRIOS!$D$11</c:f>
              <c:strCache>
                <c:ptCount val="1"/>
                <c:pt idx="0">
                  <c:v>Patrimônio acumulado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CENÁRIOS!$B$12:$B$16</c:f>
              <c:strCache>
                <c:ptCount val="5"/>
                <c:pt idx="0">
                  <c:v>2 anos</c:v>
                </c:pt>
                <c:pt idx="1">
                  <c:v>5 anos</c:v>
                </c:pt>
                <c:pt idx="2">
                  <c:v>10 anos</c:v>
                </c:pt>
                <c:pt idx="3">
                  <c:v>20 anos</c:v>
                </c:pt>
                <c:pt idx="4">
                  <c:v>30 anos</c:v>
                </c:pt>
              </c:strCache>
            </c:strRef>
          </c:cat>
          <c:val>
            <c:numRef>
              <c:f>CENÁRIOS!$D$12:$D$16</c:f>
              <c:numCache>
                <c:formatCode>"R$"#,##0.00_);[Red]\("R$"#,##0.00\)</c:formatCode>
                <c:ptCount val="5"/>
                <c:pt idx="0">
                  <c:v>13171.577555559783</c:v>
                </c:pt>
                <c:pt idx="1">
                  <c:v>38311.933415940111</c:v>
                </c:pt>
                <c:pt idx="2">
                  <c:v>100108.73470495906</c:v>
                </c:pt>
                <c:pt idx="3">
                  <c:v>360565.60963756416</c:v>
                </c:pt>
                <c:pt idx="4">
                  <c:v>1038206.6156855426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6A-435D-8082-1E5488071A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9332511"/>
        <c:axId val="696023823"/>
      </c:lineChart>
      <c:catAx>
        <c:axId val="549332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96023823"/>
        <c:crosses val="autoZero"/>
        <c:auto val="1"/>
        <c:lblAlgn val="ctr"/>
        <c:lblOffset val="100"/>
        <c:noMultiLvlLbl val="0"/>
      </c:catAx>
      <c:valAx>
        <c:axId val="696023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9332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00252E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pt-BR">
                <a:solidFill>
                  <a:schemeClr val="bg1"/>
                </a:solidFill>
              </a:rPr>
              <a:t>Distribuição da Carteira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PERFIL!$E$13</c:f>
              <c:strCache>
                <c:ptCount val="1"/>
                <c:pt idx="0">
                  <c:v>Distribuição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1D2-4AEB-8858-1D36976CA1B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1D2-4AEB-8858-1D36976CA1B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21D2-4AEB-8858-1D36976CA1B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1D2-4AEB-8858-1D36976CA1B0}"/>
              </c:ext>
            </c:extLst>
          </c:dPt>
          <c:dLbls>
            <c:dLbl>
              <c:idx val="0"/>
              <c:layout>
                <c:manualLayout>
                  <c:x val="9.2704560041326739E-2"/>
                  <c:y val="7.49528003914764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none" lIns="38100" tIns="19050" rIns="38100" bIns="19050" anchor="t" anchorCtr="0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3569063594677125"/>
                      <c:h val="0.1167308253135024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21D2-4AEB-8858-1D36976CA1B0}"/>
                </c:ext>
              </c:extLst>
            </c:dLbl>
            <c:dLbl>
              <c:idx val="1"/>
              <c:layout>
                <c:manualLayout>
                  <c:x val="-5.8244652818000134E-2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none" lIns="38100" tIns="19050" rIns="38100" bIns="19050" anchor="t" anchorCtr="0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1506888487188129"/>
                      <c:h val="0.1167308253135024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21D2-4AEB-8858-1D36976CA1B0}"/>
                </c:ext>
              </c:extLst>
            </c:dLbl>
            <c:dLbl>
              <c:idx val="2"/>
              <c:layout>
                <c:manualLayout>
                  <c:x val="-6.9301357211064327E-2"/>
                  <c:y val="-6.52541483162062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none" lIns="38100" tIns="19050" rIns="38100" bIns="19050" anchor="t" anchorCtr="0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4681577254205092"/>
                      <c:h val="0.1167308253135024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21D2-4AEB-8858-1D36976CA1B0}"/>
                </c:ext>
              </c:extLst>
            </c:dLbl>
            <c:dLbl>
              <c:idx val="3"/>
              <c:layout>
                <c:manualLayout>
                  <c:x val="-2.548655573122947E-2"/>
                  <c:y val="-0.1018518617376217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none" lIns="38100" tIns="19050" rIns="38100" bIns="19050" anchor="t" anchorCtr="0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195216356710275"/>
                      <c:h val="0.1167308253135024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21D2-4AEB-8858-1D36976CA1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none" lIns="38100" tIns="19050" rIns="38100" bIns="19050" anchor="t" anchorCtr="0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PERFIL!$B$14:$B$17</c:f>
              <c:strCache>
                <c:ptCount val="4"/>
                <c:pt idx="0">
                  <c:v>Renda Fixa</c:v>
                </c:pt>
                <c:pt idx="1">
                  <c:v>FIIs</c:v>
                </c:pt>
                <c:pt idx="2">
                  <c:v>Ações</c:v>
                </c:pt>
                <c:pt idx="3">
                  <c:v>ETFs</c:v>
                </c:pt>
              </c:strCache>
            </c:strRef>
          </c:cat>
          <c:val>
            <c:numRef>
              <c:f>PERFIL!$E$14:$E$17</c:f>
              <c:numCache>
                <c:formatCode>0%</c:formatCode>
                <c:ptCount val="4"/>
                <c:pt idx="0">
                  <c:v>0.2</c:v>
                </c:pt>
                <c:pt idx="1">
                  <c:v>0.25</c:v>
                </c:pt>
                <c:pt idx="2">
                  <c:v>0.35</c:v>
                </c:pt>
                <c:pt idx="3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D2-4AEB-8858-1D36976CA1B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00252E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9524</xdr:colOff>
      <xdr:row>0</xdr:row>
      <xdr:rowOff>171450</xdr:rowOff>
    </xdr:from>
    <xdr:to>
      <xdr:col>9</xdr:col>
      <xdr:colOff>9525</xdr:colOff>
      <xdr:row>9</xdr:row>
      <xdr:rowOff>9524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67F1B52-27B4-AE0D-5118-1F5B03785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4" y="171450"/>
          <a:ext cx="4991101" cy="16668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600074</xdr:colOff>
      <xdr:row>17</xdr:row>
      <xdr:rowOff>0</xdr:rowOff>
    </xdr:from>
    <xdr:to>
      <xdr:col>5</xdr:col>
      <xdr:colOff>1057274</xdr:colOff>
      <xdr:row>30</xdr:row>
      <xdr:rowOff>123826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AC0AFA0-8B75-C225-7300-1479E2AD3A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1</xdr:row>
      <xdr:rowOff>0</xdr:rowOff>
    </xdr:from>
    <xdr:to>
      <xdr:col>6</xdr:col>
      <xdr:colOff>1</xdr:colOff>
      <xdr:row>9</xdr:row>
      <xdr:rowOff>28574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ECA6EEA-7C7D-469B-A272-22C688970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90500"/>
          <a:ext cx="4991101" cy="16668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571499</xdr:colOff>
      <xdr:row>19</xdr:row>
      <xdr:rowOff>0</xdr:rowOff>
    </xdr:from>
    <xdr:to>
      <xdr:col>5</xdr:col>
      <xdr:colOff>2009775</xdr:colOff>
      <xdr:row>34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31A0DC5-1865-24E7-71E3-F40E49F009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1</xdr:row>
      <xdr:rowOff>0</xdr:rowOff>
    </xdr:from>
    <xdr:to>
      <xdr:col>6</xdr:col>
      <xdr:colOff>9526</xdr:colOff>
      <xdr:row>9</xdr:row>
      <xdr:rowOff>28574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DAFA29B-9DF5-44C3-82EC-C2263D82A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90500"/>
          <a:ext cx="4991101" cy="16668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4DCC7-29C5-4FCA-A3A8-49FB95C01093}">
  <dimension ref="A7:J31"/>
  <sheetViews>
    <sheetView showGridLines="0" showRowColHeaders="0" tabSelected="1" workbookViewId="0">
      <selection activeCell="H13" sqref="H13:I13"/>
    </sheetView>
  </sheetViews>
  <sheetFormatPr defaultColWidth="0" defaultRowHeight="15" x14ac:dyDescent="0.25"/>
  <cols>
    <col min="1" max="4" width="9.140625" customWidth="1"/>
    <col min="5" max="5" width="10.28515625" bestFit="1" customWidth="1"/>
    <col min="6" max="6" width="2.28515625" customWidth="1"/>
    <col min="7" max="7" width="9.140625" customWidth="1"/>
    <col min="8" max="8" width="13.28515625" customWidth="1"/>
    <col min="9" max="9" width="12.42578125" bestFit="1" customWidth="1"/>
    <col min="10" max="10" width="9.140625" customWidth="1"/>
    <col min="11" max="16384" width="9.140625" hidden="1"/>
  </cols>
  <sheetData>
    <row r="7" spans="1:9" x14ac:dyDescent="0.25">
      <c r="B7" s="29" t="s">
        <v>1</v>
      </c>
      <c r="C7" s="30"/>
      <c r="D7" s="30"/>
      <c r="E7" s="30"/>
      <c r="F7" s="30"/>
      <c r="G7" s="30"/>
      <c r="H7" s="30"/>
      <c r="I7" s="30"/>
    </row>
    <row r="8" spans="1:9" ht="23.25" customHeight="1" x14ac:dyDescent="0.25">
      <c r="A8" s="1"/>
      <c r="B8" s="30"/>
      <c r="C8" s="30"/>
      <c r="D8" s="30"/>
      <c r="E8" s="30"/>
      <c r="F8" s="30"/>
      <c r="G8" s="30"/>
      <c r="H8" s="30"/>
      <c r="I8" s="30"/>
    </row>
    <row r="9" spans="1:9" ht="15.75" x14ac:dyDescent="0.25">
      <c r="B9" s="31" t="s">
        <v>2</v>
      </c>
      <c r="C9" s="32"/>
      <c r="D9" s="32"/>
      <c r="E9" s="32"/>
      <c r="F9" s="32"/>
      <c r="G9" s="32"/>
      <c r="H9" s="32"/>
      <c r="I9" s="32"/>
    </row>
    <row r="11" spans="1:9" ht="24.95" customHeight="1" x14ac:dyDescent="0.25">
      <c r="B11" s="23" t="s">
        <v>0</v>
      </c>
      <c r="C11" s="23"/>
      <c r="D11" s="23"/>
      <c r="E11" s="23"/>
      <c r="F11" s="23"/>
      <c r="G11" s="23"/>
      <c r="H11" s="23"/>
      <c r="I11" s="23"/>
    </row>
    <row r="12" spans="1:9" ht="6.95" customHeight="1" x14ac:dyDescent="0.25"/>
    <row r="13" spans="1:9" x14ac:dyDescent="0.25">
      <c r="B13" s="6" t="s">
        <v>7</v>
      </c>
      <c r="H13" s="33">
        <v>5000</v>
      </c>
      <c r="I13" s="34"/>
    </row>
    <row r="14" spans="1:9" ht="6.95" customHeight="1" x14ac:dyDescent="0.25">
      <c r="B14" s="6"/>
    </row>
    <row r="15" spans="1:9" x14ac:dyDescent="0.25">
      <c r="B15" s="6" t="s">
        <v>8</v>
      </c>
      <c r="H15" s="25">
        <v>0.1</v>
      </c>
      <c r="I15" s="26"/>
    </row>
    <row r="16" spans="1:9" ht="6.95" customHeight="1" x14ac:dyDescent="0.25">
      <c r="B16" s="6"/>
    </row>
    <row r="17" spans="2:9" x14ac:dyDescent="0.25">
      <c r="B17" s="6" t="s">
        <v>9</v>
      </c>
      <c r="H17" s="24">
        <f>renda_mensal*percentual_investir</f>
        <v>500</v>
      </c>
      <c r="I17" s="24"/>
    </row>
    <row r="18" spans="2:9" ht="6.95" customHeight="1" x14ac:dyDescent="0.25">
      <c r="B18" s="6"/>
    </row>
    <row r="19" spans="2:9" x14ac:dyDescent="0.25">
      <c r="B19" s="6" t="s">
        <v>10</v>
      </c>
      <c r="H19" s="25">
        <v>8.0000000000000002E-3</v>
      </c>
      <c r="I19" s="26"/>
    </row>
    <row r="20" spans="2:9" ht="6.95" customHeight="1" x14ac:dyDescent="0.25">
      <c r="B20" s="6"/>
    </row>
    <row r="21" spans="2:9" x14ac:dyDescent="0.25">
      <c r="B21" s="6" t="s">
        <v>11</v>
      </c>
      <c r="H21" s="27">
        <v>2</v>
      </c>
      <c r="I21" s="28"/>
    </row>
    <row r="23" spans="2:9" ht="24.95" customHeight="1" x14ac:dyDescent="0.25">
      <c r="B23" s="23" t="s">
        <v>3</v>
      </c>
      <c r="C23" s="23"/>
      <c r="D23" s="23"/>
      <c r="E23" s="23"/>
      <c r="F23" s="23"/>
      <c r="G23" s="23"/>
      <c r="H23" s="23"/>
      <c r="I23" s="23"/>
    </row>
    <row r="24" spans="2:9" ht="6.95" customHeight="1" x14ac:dyDescent="0.25"/>
    <row r="25" spans="2:9" x14ac:dyDescent="0.25">
      <c r="B25" s="6" t="s">
        <v>6</v>
      </c>
      <c r="H25" s="24">
        <f>investimento_mensal*12*periodo_investimento</f>
        <v>12000</v>
      </c>
      <c r="I25" s="24"/>
    </row>
    <row r="26" spans="2:9" ht="6.95" customHeight="1" x14ac:dyDescent="0.25">
      <c r="B26" s="6"/>
    </row>
    <row r="27" spans="2:9" x14ac:dyDescent="0.25">
      <c r="B27" s="6" t="s">
        <v>12</v>
      </c>
      <c r="H27" s="22">
        <f>FV(taxa_mensal,periodo_investimento*12,-investimento_mensal,0,0)</f>
        <v>13171.577555559783</v>
      </c>
      <c r="I27" s="22"/>
    </row>
    <row r="28" spans="2:9" ht="6.95" customHeight="1" x14ac:dyDescent="0.25">
      <c r="B28" s="6"/>
    </row>
    <row r="29" spans="2:9" x14ac:dyDescent="0.25">
      <c r="B29" s="6" t="s">
        <v>4</v>
      </c>
      <c r="H29" s="22">
        <f>patrimonio_acumulado-total_investido</f>
        <v>1171.5775555597829</v>
      </c>
      <c r="I29" s="22"/>
    </row>
    <row r="30" spans="2:9" ht="6.95" customHeight="1" x14ac:dyDescent="0.25">
      <c r="B30" s="6"/>
    </row>
    <row r="31" spans="2:9" x14ac:dyDescent="0.25">
      <c r="B31" s="6" t="s">
        <v>5</v>
      </c>
      <c r="H31" s="22">
        <f>patrimonio_acumulado*taxa_mensal</f>
        <v>105.37262044447827</v>
      </c>
      <c r="I31" s="22"/>
    </row>
  </sheetData>
  <mergeCells count="13">
    <mergeCell ref="B7:I8"/>
    <mergeCell ref="B9:I9"/>
    <mergeCell ref="B11:I11"/>
    <mergeCell ref="H13:I13"/>
    <mergeCell ref="H15:I15"/>
    <mergeCell ref="H29:I29"/>
    <mergeCell ref="H31:I31"/>
    <mergeCell ref="B23:I23"/>
    <mergeCell ref="H17:I17"/>
    <mergeCell ref="H19:I19"/>
    <mergeCell ref="H21:I21"/>
    <mergeCell ref="H25:I25"/>
    <mergeCell ref="H27:I27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69112-01B2-4FBD-B688-7D45ACB01A88}">
  <dimension ref="A7:G16"/>
  <sheetViews>
    <sheetView showGridLines="0" showRowColHeaders="0" workbookViewId="0">
      <selection activeCell="B2" sqref="B2"/>
    </sheetView>
  </sheetViews>
  <sheetFormatPr defaultColWidth="0" defaultRowHeight="15" x14ac:dyDescent="0.25"/>
  <cols>
    <col min="1" max="1" width="9.140625" customWidth="1"/>
    <col min="2" max="2" width="9.5703125" customWidth="1"/>
    <col min="3" max="3" width="14.42578125" bestFit="1" customWidth="1"/>
    <col min="4" max="4" width="22.5703125" customWidth="1"/>
    <col min="5" max="5" width="12.140625" bestFit="1" customWidth="1"/>
    <col min="6" max="6" width="16.140625" customWidth="1"/>
    <col min="7" max="7" width="9.140625" customWidth="1"/>
    <col min="8" max="16384" width="9.140625" hidden="1"/>
  </cols>
  <sheetData>
    <row r="7" spans="1:6" x14ac:dyDescent="0.25">
      <c r="B7" s="29" t="s">
        <v>13</v>
      </c>
      <c r="C7" s="30"/>
      <c r="D7" s="30"/>
      <c r="E7" s="30"/>
      <c r="F7" s="30"/>
    </row>
    <row r="8" spans="1:6" ht="23.25" customHeight="1" x14ac:dyDescent="0.25">
      <c r="B8" s="30"/>
      <c r="C8" s="30"/>
      <c r="D8" s="30"/>
      <c r="E8" s="30"/>
      <c r="F8" s="30"/>
    </row>
    <row r="9" spans="1:6" ht="15.75" x14ac:dyDescent="0.25">
      <c r="B9" s="31" t="s">
        <v>14</v>
      </c>
      <c r="C9" s="32"/>
      <c r="D9" s="32"/>
      <c r="E9" s="32"/>
      <c r="F9" s="32"/>
    </row>
    <row r="11" spans="1:6" x14ac:dyDescent="0.25">
      <c r="B11" s="10" t="s">
        <v>15</v>
      </c>
      <c r="C11" s="11" t="s">
        <v>6</v>
      </c>
      <c r="D11" s="11" t="s">
        <v>12</v>
      </c>
      <c r="E11" s="11" t="s">
        <v>16</v>
      </c>
      <c r="F11" s="12" t="s">
        <v>17</v>
      </c>
    </row>
    <row r="12" spans="1:6" x14ac:dyDescent="0.25">
      <c r="A12" s="15">
        <v>2</v>
      </c>
      <c r="B12" s="16" t="s">
        <v>31</v>
      </c>
      <c r="C12" s="7">
        <f>investimento_mensal*12*A12</f>
        <v>12000</v>
      </c>
      <c r="D12" s="8">
        <f>FV(taxa_mensal,A12*12,-investimento_mensal,0,0)</f>
        <v>13171.577555559783</v>
      </c>
      <c r="E12" s="8">
        <f>D12-C12</f>
        <v>1171.5775555597829</v>
      </c>
      <c r="F12" s="13">
        <f>D12*taxa_mensal</f>
        <v>105.37262044447827</v>
      </c>
    </row>
    <row r="13" spans="1:6" x14ac:dyDescent="0.25">
      <c r="A13" s="15">
        <v>5</v>
      </c>
      <c r="B13" s="17" t="s">
        <v>32</v>
      </c>
      <c r="C13" s="7">
        <f>investimento_mensal*12*A13</f>
        <v>30000</v>
      </c>
      <c r="D13" s="8">
        <f>FV(taxa_mensal,A13*12,-investimento_mensal,0,0)</f>
        <v>38311.933415940111</v>
      </c>
      <c r="E13" s="9">
        <f>D13-C13</f>
        <v>8311.9334159401114</v>
      </c>
      <c r="F13" s="13">
        <f>D13*taxa_mensal</f>
        <v>306.49546732752088</v>
      </c>
    </row>
    <row r="14" spans="1:6" x14ac:dyDescent="0.25">
      <c r="A14" s="15">
        <v>10</v>
      </c>
      <c r="B14" s="17" t="s">
        <v>33</v>
      </c>
      <c r="C14" s="7">
        <f>investimento_mensal*12*A14</f>
        <v>60000</v>
      </c>
      <c r="D14" s="8">
        <f>FV(taxa_mensal,A14*12,-investimento_mensal,0,0)</f>
        <v>100108.73470495906</v>
      </c>
      <c r="E14" s="9">
        <f t="shared" ref="E14" si="0">D14-C14</f>
        <v>40108.734704959061</v>
      </c>
      <c r="F14" s="13">
        <f>D14*taxa_mensal</f>
        <v>800.8698776396725</v>
      </c>
    </row>
    <row r="15" spans="1:6" x14ac:dyDescent="0.25">
      <c r="A15" s="15">
        <v>20</v>
      </c>
      <c r="B15" s="17" t="s">
        <v>34</v>
      </c>
      <c r="C15" s="7">
        <f>investimento_mensal*12*A15</f>
        <v>120000</v>
      </c>
      <c r="D15" s="8">
        <f>FV(taxa_mensal,A15*12,-investimento_mensal,0,0)</f>
        <v>360565.60963756416</v>
      </c>
      <c r="E15" s="9">
        <f>D15-C15</f>
        <v>240565.60963756416</v>
      </c>
      <c r="F15" s="13">
        <f>D15*taxa_mensal</f>
        <v>2884.5248771005135</v>
      </c>
    </row>
    <row r="16" spans="1:6" x14ac:dyDescent="0.25">
      <c r="A16" s="15">
        <v>30</v>
      </c>
      <c r="B16" s="18" t="s">
        <v>35</v>
      </c>
      <c r="C16" s="19">
        <f>investimento_mensal*12*A16</f>
        <v>180000</v>
      </c>
      <c r="D16" s="20">
        <f>FV(taxa_mensal,A16*12,-investimento_mensal,0,0)</f>
        <v>1038206.6156855426</v>
      </c>
      <c r="E16" s="14">
        <f>D16-C16</f>
        <v>858206.61568554258</v>
      </c>
      <c r="F16" s="21">
        <f>D16*taxa_mensal</f>
        <v>8305.6529254843408</v>
      </c>
    </row>
  </sheetData>
  <mergeCells count="2">
    <mergeCell ref="B7:F8"/>
    <mergeCell ref="B9:F9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A5817-F1A8-4485-9F20-7AE9EFCE1C82}">
  <dimension ref="A7:G19"/>
  <sheetViews>
    <sheetView showGridLines="0" showRowColHeaders="0" workbookViewId="0">
      <selection activeCell="F47" sqref="F47"/>
    </sheetView>
  </sheetViews>
  <sheetFormatPr defaultColWidth="0" defaultRowHeight="15" x14ac:dyDescent="0.25"/>
  <cols>
    <col min="1" max="1" width="9.140625" customWidth="1"/>
    <col min="2" max="2" width="17.5703125" bestFit="1" customWidth="1"/>
    <col min="3" max="3" width="13" customWidth="1"/>
    <col min="4" max="4" width="4.42578125" customWidth="1"/>
    <col min="5" max="5" width="9.140625" customWidth="1"/>
    <col min="6" max="6" width="30.5703125" customWidth="1"/>
    <col min="7" max="7" width="9.140625" customWidth="1"/>
    <col min="8" max="16384" width="9.140625" hidden="1"/>
  </cols>
  <sheetData>
    <row r="7" spans="2:6" x14ac:dyDescent="0.25">
      <c r="B7" s="29" t="s">
        <v>26</v>
      </c>
      <c r="C7" s="30"/>
      <c r="D7" s="30"/>
      <c r="E7" s="30"/>
      <c r="F7" s="30"/>
    </row>
    <row r="8" spans="2:6" ht="23.25" customHeight="1" x14ac:dyDescent="0.25">
      <c r="B8" s="30"/>
      <c r="C8" s="30"/>
      <c r="D8" s="30"/>
      <c r="E8" s="30"/>
      <c r="F8" s="30"/>
    </row>
    <row r="9" spans="2:6" ht="15.75" x14ac:dyDescent="0.25">
      <c r="B9" s="31" t="s">
        <v>27</v>
      </c>
      <c r="C9" s="32"/>
      <c r="D9" s="32"/>
      <c r="E9" s="32"/>
      <c r="F9" s="32"/>
    </row>
    <row r="10" spans="2:6" ht="15.75" thickBot="1" x14ac:dyDescent="0.3"/>
    <row r="11" spans="2:6" ht="18" customHeight="1" thickTop="1" thickBot="1" x14ac:dyDescent="0.3">
      <c r="B11" s="48" t="s">
        <v>28</v>
      </c>
      <c r="C11" s="48"/>
      <c r="D11" s="49"/>
      <c r="E11" s="46" t="s">
        <v>21</v>
      </c>
      <c r="F11" s="47"/>
    </row>
    <row r="12" spans="2:6" ht="15" customHeight="1" thickTop="1" x14ac:dyDescent="0.25"/>
    <row r="13" spans="2:6" ht="15" customHeight="1" x14ac:dyDescent="0.25">
      <c r="B13" s="43" t="s">
        <v>18</v>
      </c>
      <c r="C13" s="44"/>
      <c r="D13" s="44"/>
      <c r="E13" s="44" t="s">
        <v>29</v>
      </c>
      <c r="F13" s="45"/>
    </row>
    <row r="14" spans="2:6" ht="15" customHeight="1" x14ac:dyDescent="0.25">
      <c r="B14" s="35" t="s">
        <v>22</v>
      </c>
      <c r="C14" s="36"/>
      <c r="D14" s="36"/>
      <c r="E14" s="39">
        <f>INDEX(DADOS!$C$3:$E$6,MATCH(B14,DADOS!$B$3:$B$6,0),MATCH($E$11,DADOS!$C$2:$E$2,0))</f>
        <v>0.2</v>
      </c>
      <c r="F14" s="40"/>
    </row>
    <row r="15" spans="2:6" ht="15" customHeight="1" x14ac:dyDescent="0.25">
      <c r="B15" s="35" t="s">
        <v>23</v>
      </c>
      <c r="C15" s="36"/>
      <c r="D15" s="36"/>
      <c r="E15" s="39">
        <f>INDEX(DADOS!$C$3:$E$6,MATCH(B15,DADOS!$B$3:$B$6,0),MATCH($E$11,DADOS!$C$2:$E$2,0))</f>
        <v>0.25</v>
      </c>
      <c r="F15" s="40"/>
    </row>
    <row r="16" spans="2:6" ht="15" customHeight="1" x14ac:dyDescent="0.25">
      <c r="B16" s="35" t="s">
        <v>24</v>
      </c>
      <c r="C16" s="36"/>
      <c r="D16" s="36"/>
      <c r="E16" s="39">
        <f>INDEX(DADOS!$C$3:$E$6,MATCH(B16,DADOS!$B$3:$B$6,0),MATCH($E$11,DADOS!$C$2:$E$2,0))</f>
        <v>0.35</v>
      </c>
      <c r="F16" s="40"/>
    </row>
    <row r="17" spans="2:6" ht="15" customHeight="1" x14ac:dyDescent="0.25">
      <c r="B17" s="35" t="s">
        <v>25</v>
      </c>
      <c r="C17" s="36"/>
      <c r="D17" s="36"/>
      <c r="E17" s="39">
        <f>INDEX(DADOS!$C$3:$E$6,MATCH(B17,DADOS!$B$3:$B$6,0),MATCH($E$11,DADOS!$C$2:$E$2,0))</f>
        <v>0.2</v>
      </c>
      <c r="F17" s="40"/>
    </row>
    <row r="18" spans="2:6" ht="15" customHeight="1" x14ac:dyDescent="0.25">
      <c r="B18" s="37" t="s">
        <v>30</v>
      </c>
      <c r="C18" s="38"/>
      <c r="D18" s="38"/>
      <c r="E18" s="41">
        <f>SUM(E14:E17)</f>
        <v>1</v>
      </c>
      <c r="F18" s="42"/>
    </row>
    <row r="19" spans="2:6" x14ac:dyDescent="0.25">
      <c r="C19" s="3"/>
    </row>
  </sheetData>
  <mergeCells count="16">
    <mergeCell ref="B7:F8"/>
    <mergeCell ref="B9:F9"/>
    <mergeCell ref="B13:D13"/>
    <mergeCell ref="E13:F13"/>
    <mergeCell ref="E11:F11"/>
    <mergeCell ref="B11:D11"/>
    <mergeCell ref="E14:F14"/>
    <mergeCell ref="E15:F15"/>
    <mergeCell ref="E16:F16"/>
    <mergeCell ref="E17:F17"/>
    <mergeCell ref="E18:F18"/>
    <mergeCell ref="B14:D14"/>
    <mergeCell ref="B15:D15"/>
    <mergeCell ref="B16:D16"/>
    <mergeCell ref="B17:D17"/>
    <mergeCell ref="B18:D18"/>
  </mergeCells>
  <dataValidations count="1">
    <dataValidation type="list" allowBlank="1" showInputMessage="1" showErrorMessage="1" sqref="E11" xr:uid="{E0102A38-0475-4B80-AF4E-1F2610E84CEB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A8986-486F-49BB-B1F2-8321E32CFA8D}">
  <dimension ref="A1:F8"/>
  <sheetViews>
    <sheetView showGridLines="0" workbookViewId="0">
      <selection activeCell="A9" sqref="A9:XFD1048576"/>
    </sheetView>
  </sheetViews>
  <sheetFormatPr defaultColWidth="0" defaultRowHeight="15" zeroHeight="1" x14ac:dyDescent="0.25"/>
  <cols>
    <col min="1" max="1" width="9.140625" customWidth="1"/>
    <col min="2" max="2" width="10.5703125" bestFit="1" customWidth="1"/>
    <col min="3" max="3" width="12.5703125" bestFit="1" customWidth="1"/>
    <col min="4" max="4" width="10" bestFit="1" customWidth="1"/>
    <col min="5" max="5" width="9.7109375" bestFit="1" customWidth="1"/>
    <col min="6" max="6" width="10.5703125" bestFit="1" customWidth="1"/>
    <col min="7" max="16384" width="9.140625" hidden="1"/>
  </cols>
  <sheetData>
    <row r="1" spans="2:5" x14ac:dyDescent="0.25"/>
    <row r="2" spans="2:5" x14ac:dyDescent="0.25">
      <c r="B2" s="2" t="s">
        <v>18</v>
      </c>
      <c r="C2" s="2" t="s">
        <v>19</v>
      </c>
      <c r="D2" s="2" t="s">
        <v>20</v>
      </c>
      <c r="E2" s="2" t="s">
        <v>21</v>
      </c>
    </row>
    <row r="3" spans="2:5" x14ac:dyDescent="0.25">
      <c r="B3" t="s">
        <v>22</v>
      </c>
      <c r="C3" s="3">
        <v>0.7</v>
      </c>
      <c r="D3" s="3">
        <v>0.4</v>
      </c>
      <c r="E3" s="3">
        <v>0.2</v>
      </c>
    </row>
    <row r="4" spans="2:5" x14ac:dyDescent="0.25">
      <c r="B4" t="s">
        <v>23</v>
      </c>
      <c r="C4" s="3">
        <v>0.15</v>
      </c>
      <c r="D4" s="3">
        <v>0.25</v>
      </c>
      <c r="E4" s="3">
        <v>0.25</v>
      </c>
    </row>
    <row r="5" spans="2:5" x14ac:dyDescent="0.25">
      <c r="B5" t="s">
        <v>24</v>
      </c>
      <c r="C5" s="3">
        <v>0.05</v>
      </c>
      <c r="D5" s="3">
        <v>0.2</v>
      </c>
      <c r="E5" s="3">
        <v>0.35</v>
      </c>
    </row>
    <row r="6" spans="2:5" x14ac:dyDescent="0.25">
      <c r="B6" t="s">
        <v>25</v>
      </c>
      <c r="C6" s="3">
        <v>0.1</v>
      </c>
      <c r="D6" s="3">
        <v>0.15</v>
      </c>
      <c r="E6" s="3">
        <v>0.2</v>
      </c>
    </row>
    <row r="7" spans="2:5" x14ac:dyDescent="0.25">
      <c r="B7" s="4" t="s">
        <v>30</v>
      </c>
      <c r="C7" s="5">
        <f>SUM(C3:C6)</f>
        <v>1</v>
      </c>
      <c r="D7" s="5">
        <f>SUM(D3:D6)</f>
        <v>1</v>
      </c>
      <c r="E7" s="5">
        <f>SUM(E3:E6)</f>
        <v>1</v>
      </c>
    </row>
    <row r="8" spans="2:5" x14ac:dyDescent="0.25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9</vt:i4>
      </vt:variant>
    </vt:vector>
  </HeadingPairs>
  <TitlesOfParts>
    <vt:vector size="13" baseType="lpstr">
      <vt:lpstr>SIMULADOR</vt:lpstr>
      <vt:lpstr>CENÁRIOS</vt:lpstr>
      <vt:lpstr>PERFIL</vt:lpstr>
      <vt:lpstr>DADOS</vt:lpstr>
      <vt:lpstr>investimento_mensal</vt:lpstr>
      <vt:lpstr>patrimonio_acumulado</vt:lpstr>
      <vt:lpstr>percentual_investir</vt:lpstr>
      <vt:lpstr>periodo_investimento</vt:lpstr>
      <vt:lpstr>renda_estimada</vt:lpstr>
      <vt:lpstr>renda_mensal</vt:lpstr>
      <vt:lpstr>rendimento_obtido</vt:lpstr>
      <vt:lpstr>taxa_mensal</vt:lpstr>
      <vt:lpstr>total_investido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da Silva</dc:creator>
  <cp:lastModifiedBy>Leandro Rodrigues da Silva</cp:lastModifiedBy>
  <dcterms:created xsi:type="dcterms:W3CDTF">2026-10-01T19:00:12Z</dcterms:created>
  <dcterms:modified xsi:type="dcterms:W3CDTF">2026-10-02T18:16:24Z</dcterms:modified>
</cp:coreProperties>
</file>